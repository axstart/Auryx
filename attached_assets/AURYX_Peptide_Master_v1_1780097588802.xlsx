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Dropbox\Work\Romy\Auryx\"/>
    </mc:Choice>
  </mc:AlternateContent>
  <xr:revisionPtr revIDLastSave="0" documentId="8_{433CF45E-11A6-46DA-B4AD-F700AEF0A270}" xr6:coauthVersionLast="47" xr6:coauthVersionMax="47" xr10:uidLastSave="{00000000-0000-0000-0000-000000000000}"/>
  <bookViews>
    <workbookView xWindow="4280" yWindow="610" windowWidth="23190" windowHeight="13060" tabRatio="500" xr2:uid="{00000000-000D-0000-FFFF-FFFF00000000}"/>
  </bookViews>
  <sheets>
    <sheet name="📋 Product Catalog" sheetId="1" r:id="rId1"/>
    <sheet name="💲 Lab Cos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7" i="2" l="1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5" i="1"/>
  <c r="I65" i="1"/>
  <c r="I64" i="1"/>
  <c r="J64" i="1" s="1"/>
  <c r="I63" i="1"/>
  <c r="J63" i="1" s="1"/>
  <c r="J62" i="1"/>
  <c r="I62" i="1"/>
  <c r="I60" i="1"/>
  <c r="J60" i="1" s="1"/>
  <c r="I59" i="1"/>
  <c r="J59" i="1" s="1"/>
  <c r="I57" i="1"/>
  <c r="J57" i="1" s="1"/>
  <c r="I56" i="1"/>
  <c r="J56" i="1" s="1"/>
  <c r="I55" i="1"/>
  <c r="J55" i="1" s="1"/>
  <c r="I54" i="1"/>
  <c r="J54" i="1" s="1"/>
  <c r="I53" i="1"/>
  <c r="J53" i="1" s="1"/>
  <c r="I51" i="1"/>
  <c r="J51" i="1" s="1"/>
  <c r="J50" i="1"/>
  <c r="I50" i="1"/>
  <c r="I49" i="1"/>
  <c r="J49" i="1" s="1"/>
  <c r="I48" i="1"/>
  <c r="J48" i="1" s="1"/>
  <c r="I47" i="1"/>
  <c r="J47" i="1" s="1"/>
  <c r="I45" i="1"/>
  <c r="J45" i="1" s="1"/>
  <c r="I44" i="1"/>
  <c r="J44" i="1" s="1"/>
  <c r="J42" i="1"/>
  <c r="I42" i="1"/>
  <c r="I41" i="1"/>
  <c r="J41" i="1" s="1"/>
  <c r="I40" i="1"/>
  <c r="J40" i="1" s="1"/>
  <c r="J39" i="1"/>
  <c r="I39" i="1"/>
  <c r="I38" i="1"/>
  <c r="J38" i="1" s="1"/>
  <c r="I37" i="1"/>
  <c r="J37" i="1" s="1"/>
  <c r="I36" i="1"/>
  <c r="J36" i="1" s="1"/>
  <c r="I34" i="1"/>
  <c r="J34" i="1" s="1"/>
  <c r="I33" i="1"/>
  <c r="J33" i="1" s="1"/>
  <c r="I32" i="1"/>
  <c r="J32" i="1" s="1"/>
  <c r="I31" i="1"/>
  <c r="J31" i="1" s="1"/>
  <c r="I30" i="1"/>
  <c r="J30" i="1" s="1"/>
  <c r="J29" i="1"/>
  <c r="I29" i="1"/>
  <c r="I28" i="1"/>
  <c r="J28" i="1" s="1"/>
  <c r="I27" i="1"/>
  <c r="J27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J19" i="1"/>
  <c r="I19" i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</calcChain>
</file>

<file path=xl/sharedStrings.xml><?xml version="1.0" encoding="utf-8"?>
<sst xmlns="http://schemas.openxmlformats.org/spreadsheetml/2006/main" count="584" uniqueCount="128">
  <si>
    <t>AURYX LLC — Product Catalog</t>
  </si>
  <si>
    <t>Prices per vial  |  Status as of May 2026  |  Blue cells = editable inputs  |  Reconstitution kit: $35 (Centrelabs, add to Shipping as needed)</t>
  </si>
  <si>
    <t>#</t>
  </si>
  <si>
    <t>Category</t>
  </si>
  <si>
    <t>Product</t>
  </si>
  <si>
    <t>Strength</t>
  </si>
  <si>
    <t>Regulatory Status</t>
  </si>
  <si>
    <t>Highest Unit Cost
(worst case scenario)</t>
  </si>
  <si>
    <t>AURYX Price
/ vial</t>
  </si>
  <si>
    <t>Shipping
/ vial</t>
  </si>
  <si>
    <t>Margin $
/ vial</t>
  </si>
  <si>
    <t>Margin %</t>
  </si>
  <si>
    <t>STATUS LEGEND:</t>
  </si>
  <si>
    <t>✅ FDA APPROVED</t>
  </si>
  <si>
    <t>🔵 503A COMPOUNDABLE</t>
  </si>
  <si>
    <t>⏳ PENDING — PCAC Jul 2026</t>
  </si>
  <si>
    <t>⚠ GRAY ZONE</t>
  </si>
  <si>
    <t>❌ NOT APPROVED</t>
  </si>
  <si>
    <t>Blue = editable  |  Black = formula</t>
  </si>
  <si>
    <t xml:space="preserve">  GLP-1 &amp; METABOLIC</t>
  </si>
  <si>
    <t>GLP-1 &amp; Metabolic</t>
  </si>
  <si>
    <t>Tirzepatide</t>
  </si>
  <si>
    <t>10 mg</t>
  </si>
  <si>
    <t>20 mg</t>
  </si>
  <si>
    <t>30 mg</t>
  </si>
  <si>
    <t>40 mg</t>
  </si>
  <si>
    <t>50 mg</t>
  </si>
  <si>
    <t>60 mg</t>
  </si>
  <si>
    <t>90 mg</t>
  </si>
  <si>
    <t>Semaglutide</t>
  </si>
  <si>
    <t>12.5 mg</t>
  </si>
  <si>
    <t>Retatrutide</t>
  </si>
  <si>
    <t>12 mg</t>
  </si>
  <si>
    <t>24 mg</t>
  </si>
  <si>
    <t>Tesofensine</t>
  </si>
  <si>
    <t>—</t>
  </si>
  <si>
    <t>AOD-9604</t>
  </si>
  <si>
    <t>5 mg</t>
  </si>
  <si>
    <t xml:space="preserve">  GH SECRETAGOGUES</t>
  </si>
  <si>
    <t>GH Secretagogues</t>
  </si>
  <si>
    <t>Sermorelin</t>
  </si>
  <si>
    <t>Tesamorelin</t>
  </si>
  <si>
    <t>Ipamorelin</t>
  </si>
  <si>
    <t>CJC-1295 + Ipamorelin</t>
  </si>
  <si>
    <t>5mg / 5mg</t>
  </si>
  <si>
    <t>Tesofensine + Ipamorelin</t>
  </si>
  <si>
    <t>Tesamorelin + Ipamorelin</t>
  </si>
  <si>
    <t>10mg/5mg</t>
  </si>
  <si>
    <t xml:space="preserve">  RECOVERY &amp; REGENERATION</t>
  </si>
  <si>
    <t>Recovery &amp; Regeneration</t>
  </si>
  <si>
    <t>BPC-157</t>
  </si>
  <si>
    <t>TB-500</t>
  </si>
  <si>
    <t>BPC-157 + TB-500</t>
  </si>
  <si>
    <t>10mg/10mg</t>
  </si>
  <si>
    <t>KPV</t>
  </si>
  <si>
    <t>Cortagen</t>
  </si>
  <si>
    <t xml:space="preserve">  SEXUAL HEALTH &amp; VITALITY</t>
  </si>
  <si>
    <t>Sexual Health &amp; Vitality</t>
  </si>
  <si>
    <t>PT-141 (Bremelanotide)</t>
  </si>
  <si>
    <t>Kisspeptin</t>
  </si>
  <si>
    <t xml:space="preserve">  IMMUNE &amp; LONGEVITY</t>
  </si>
  <si>
    <t>Immune &amp; Longevity</t>
  </si>
  <si>
    <t>Thymosin Alpha-1</t>
  </si>
  <si>
    <t>Epitalon</t>
  </si>
  <si>
    <t>MOTS-c</t>
  </si>
  <si>
    <t>NAD+</t>
  </si>
  <si>
    <t>500 mg</t>
  </si>
  <si>
    <t>1000 mg</t>
  </si>
  <si>
    <t xml:space="preserve">  COGNITIVE &amp; NEUROPROTECTIVE</t>
  </si>
  <si>
    <t>Cognitive &amp; Neuroprotective</t>
  </si>
  <si>
    <t>Pinealon</t>
  </si>
  <si>
    <t>Semax</t>
  </si>
  <si>
    <t>Selank</t>
  </si>
  <si>
    <t>Cerebrolysin</t>
  </si>
  <si>
    <t>1200 mg</t>
  </si>
  <si>
    <t xml:space="preserve">  AURYX SIGNATURE</t>
  </si>
  <si>
    <t>GLOW Complex</t>
  </si>
  <si>
    <t>50mg/10mg/10mg</t>
  </si>
  <si>
    <t>KLOW Complex</t>
  </si>
  <si>
    <t>25mg/10mg/10mg/10mg</t>
  </si>
  <si>
    <t xml:space="preserve">  ADDITIONAL — LAB ONLY</t>
  </si>
  <si>
    <t>Additional — Lab Only</t>
  </si>
  <si>
    <t>GHK-Cu</t>
  </si>
  <si>
    <t>Glutathione</t>
  </si>
  <si>
    <t>1500 mg</t>
  </si>
  <si>
    <t>IGF1-LR3</t>
  </si>
  <si>
    <t>0.1 mg</t>
  </si>
  <si>
    <t>1 mg</t>
  </si>
  <si>
    <t>AURYX LLC — Lab Cost Reference (per vial, all quantity tiers)</t>
  </si>
  <si>
    <t>Centrelabs: 4 quantity tiers (per vial).  Beastmode &amp; AlphaBio: single price per vial.  Best Price = MIN across all labs and tiers.  Reconstitution Kit: $35 (Centrelabs, sold separately).</t>
  </si>
  <si>
    <t>CENTRELABS (per vial)</t>
  </si>
  <si>
    <t>BEASTMODE</t>
  </si>
  <si>
    <t>ALPHABIO</t>
  </si>
  <si>
    <t>Status</t>
  </si>
  <si>
    <t>CL: 1–24
vials</t>
  </si>
  <si>
    <t>CL: 25–49
vials</t>
  </si>
  <si>
    <t>CL: 50–99
vials</t>
  </si>
  <si>
    <t>CL: &gt;100
vials</t>
  </si>
  <si>
    <t>BM:
Unit</t>
  </si>
  <si>
    <t>BM:
5-pack</t>
  </si>
  <si>
    <t>AB:
Unit</t>
  </si>
  <si>
    <t>Highest Price
(worst case)</t>
  </si>
  <si>
    <t>Notes</t>
  </si>
  <si>
    <t>FDA: Mounjaro/Zepbound | ⚠ Compounding pathway closing Apr 2026</t>
  </si>
  <si>
    <t>FDA: Ozempic/Wegovy | ⚠ Compounding pathway closing Apr 2026</t>
  </si>
  <si>
    <t>❌ Phase 3 trials only — not legitimately prescribable</t>
  </si>
  <si>
    <t>❌ IND only in US. NOT 503A eligible. Cannot offer.</t>
  </si>
  <si>
    <t>Reclassified Cat 2 → Cat 1 (2026)</t>
  </si>
  <si>
    <t>Cat 1 compoundable. Not listed by these labs — source separately.</t>
  </si>
  <si>
    <t>FDA approved (Egrifta). Off-label body composition via 503A.</t>
  </si>
  <si>
    <t>Both reclassified Cat 2 → Cat 1 (2026)</t>
  </si>
  <si>
    <t>❌ Cannot offer. Tesofensine = IND only, not 503A eligible.</t>
  </si>
  <si>
    <t>Not in current pricing guide. Price TBD.</t>
  </si>
  <si>
    <t>Removed Cat 2 (Apr 2026). PCAC Jul 23 2026.</t>
  </si>
  <si>
    <t>PCAC Jul 23 2026.</t>
  </si>
  <si>
    <t>Combo vial. Both PCAC Jul 2026.</t>
  </si>
  <si>
    <t>Russian Khavinson peptide. No 503A pathway. Not in lab list.</t>
  </si>
  <si>
    <t>FDA: Vyleesi (HSDD). Off-label use via 503A.</t>
  </si>
  <si>
    <t>Was Cat 2. Not confirmed reclassified May 2026.</t>
  </si>
  <si>
    <t>❌ Remains Cat 2 restricted. Not reclassified.</t>
  </si>
  <si>
    <t>Widely available 503A compounding.</t>
  </si>
  <si>
    <t>PCAC Jul 24 2026.</t>
  </si>
  <si>
    <t>❌ Not FDA approved in US. No compounding pathway.</t>
  </si>
  <si>
    <t>Verify all component ingredients with pharmacy.</t>
  </si>
  <si>
    <t>Reclassification candidate</t>
  </si>
  <si>
    <t>Centrelabs only. 503A compoundable.</t>
  </si>
  <si>
    <t>❌ Was Cat 2</t>
  </si>
  <si>
    <t>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</si>
</sst>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\$#,##0"/>
  </numFmts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i/>
      <sz val="8"/>
      <color rgb="FF555555"/>
      <name val="Arial"/>
      <charset val="1"/>
    </font>
    <font>
      <b/>
      <sz val="10"/>
      <color rgb="FF2E75B6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70C0"/>
      <name val="Arial"/>
      <charset val="1"/>
    </font>
    <font>
      <sz val="9"/>
      <color rgb="FFAAAAAA"/>
      <name val="Arial"/>
      <charset val="1"/>
    </font>
    <font>
      <b/>
      <sz val="12"/>
      <color rgb="FFFFFFFF"/>
      <name val="Arial"/>
      <charset val="1"/>
    </font>
    <font>
      <i/>
      <sz val="8"/>
      <color rgb="FFFFFFFF"/>
      <name val="Arial"/>
      <charset val="1"/>
    </font>
    <font>
      <i/>
      <sz val="8"/>
      <color rgb="FF444444"/>
      <name val="Arial"/>
      <charset val="1"/>
    </font>
    <font>
      <sz val="9"/>
      <color rgb="FFBBBBBB"/>
      <name val="Arial"/>
      <charset val="1"/>
    </font>
    <font>
      <i/>
      <sz val="8"/>
      <color rgb="FFC00000"/>
      <name val="Arial"/>
      <charset val="1"/>
    </font>
    <font>
      <b/>
      <sz val="9"/>
      <color rgb="FF0070C0"/>
      <name val="Arial"/>
      <charset val="1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70C0"/>
      </patternFill>
    </fill>
    <fill>
      <patternFill patternType="solid">
        <fgColor rgb="FFC6EFCE"/>
        <bgColor rgb="FFD6E4F0"/>
      </patternFill>
    </fill>
    <fill>
      <patternFill patternType="solid">
        <fgColor rgb="FFBDD7EE"/>
        <bgColor rgb="FFD6E4F0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FEB9C"/>
      </patternFill>
    </fill>
    <fill>
      <patternFill patternType="solid">
        <fgColor rgb="FFFFC7CE"/>
        <bgColor rgb="FFFCE4D6"/>
      </patternFill>
    </fill>
    <fill>
      <patternFill patternType="solid">
        <fgColor rgb="FFD6E4F0"/>
        <bgColor rgb="FFC6EFCE"/>
      </patternFill>
    </fill>
    <fill>
      <patternFill patternType="solid">
        <fgColor rgb="FFFFFFFF"/>
        <bgColor rgb="FFF5F9FF"/>
      </patternFill>
    </fill>
    <fill>
      <patternFill patternType="solid">
        <fgColor rgb="FFF5F9FF"/>
        <bgColor rgb="FFFFFFFF"/>
      </patternFill>
    </fill>
  </fills>
  <borders count="17">
    <border>
      <left/>
      <right/>
      <top/>
      <bottom/>
      <diagonal/>
    </border>
    <border>
      <left style="thin">
        <color rgb="FFC5C5C5"/>
      </left>
      <right style="thin">
        <color rgb="FFC5C5C5"/>
      </right>
      <top style="thin">
        <color rgb="FFC5C5C5"/>
      </top>
      <bottom style="medium">
        <color rgb="FF2E75B6"/>
      </bottom>
      <diagonal/>
    </border>
    <border>
      <left style="thin">
        <color rgb="FFC5C5C5"/>
      </left>
      <right style="thin">
        <color rgb="FFC5C5C5"/>
      </right>
      <top style="thin">
        <color rgb="FFC5C5C5"/>
      </top>
      <bottom style="thin">
        <color rgb="FFC5C5C5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5C5C5"/>
      </left>
      <right style="thin">
        <color rgb="FFC5C5C5"/>
      </right>
      <top style="thin">
        <color rgb="FFC5C5C5"/>
      </top>
      <bottom/>
      <diagonal/>
    </border>
    <border>
      <left style="thin">
        <color rgb="FFC5C5C5"/>
      </left>
      <right style="thin">
        <color rgb="FFC5C5C5"/>
      </right>
      <top/>
      <bottom/>
      <diagonal/>
    </border>
    <border>
      <left style="thin">
        <color rgb="FFC5C5C5"/>
      </left>
      <right style="thin">
        <color rgb="FFC5C5C5"/>
      </right>
      <top/>
      <bottom style="thin">
        <color rgb="FFC5C5C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C5C5C5"/>
      </right>
      <top style="thin">
        <color rgb="FFC5C5C5"/>
      </top>
      <bottom style="thin">
        <color rgb="FFC5C5C5"/>
      </bottom>
      <diagonal/>
    </border>
    <border>
      <left style="thin">
        <color rgb="FFC5C5C5"/>
      </left>
      <right style="thin">
        <color indexed="64"/>
      </right>
      <top style="thin">
        <color rgb="FFC5C5C5"/>
      </top>
      <bottom style="thin">
        <color rgb="FFC5C5C5"/>
      </bottom>
      <diagonal/>
    </border>
    <border>
      <left style="thin">
        <color indexed="64"/>
      </left>
      <right style="thin">
        <color rgb="FFC5C5C5"/>
      </right>
      <top style="thin">
        <color rgb="FFC5C5C5"/>
      </top>
      <bottom style="thin">
        <color indexed="64"/>
      </bottom>
      <diagonal/>
    </border>
    <border>
      <left style="thin">
        <color rgb="FFC5C5C5"/>
      </left>
      <right style="thin">
        <color rgb="FFC5C5C5"/>
      </right>
      <top/>
      <bottom style="thin">
        <color indexed="64"/>
      </bottom>
      <diagonal/>
    </border>
    <border>
      <left style="thin">
        <color rgb="FFC5C5C5"/>
      </left>
      <right style="thin">
        <color rgb="FFC5C5C5"/>
      </right>
      <top style="thin">
        <color rgb="FFC5C5C5"/>
      </top>
      <bottom style="thin">
        <color indexed="64"/>
      </bottom>
      <diagonal/>
    </border>
    <border>
      <left style="thin">
        <color rgb="FFC5C5C5"/>
      </left>
      <right style="thin">
        <color indexed="64"/>
      </right>
      <top style="thin">
        <color rgb="FFC5C5C5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7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8" fillId="10" borderId="2" xfId="0" applyNumberFormat="1" applyFont="1" applyFill="1" applyBorder="1" applyAlignment="1">
      <alignment horizontal="center" vertical="center" wrapText="1"/>
    </xf>
    <xf numFmtId="164" fontId="9" fillId="10" borderId="2" xfId="0" applyNumberFormat="1" applyFont="1" applyFill="1" applyBorder="1" applyAlignment="1">
      <alignment horizontal="center" vertical="center" wrapText="1"/>
    </xf>
    <xf numFmtId="164" fontId="7" fillId="10" borderId="2" xfId="0" applyNumberFormat="1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left" vertical="center" wrapText="1"/>
    </xf>
    <xf numFmtId="164" fontId="8" fillId="11" borderId="2" xfId="0" applyNumberFormat="1" applyFont="1" applyFill="1" applyBorder="1" applyAlignment="1">
      <alignment horizontal="center" vertical="center" wrapText="1"/>
    </xf>
    <xf numFmtId="164" fontId="9" fillId="11" borderId="2" xfId="0" applyNumberFormat="1" applyFont="1" applyFill="1" applyBorder="1" applyAlignment="1">
      <alignment horizontal="center" vertical="center" wrapText="1"/>
    </xf>
    <xf numFmtId="164" fontId="7" fillId="11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4" fontId="8" fillId="10" borderId="2" xfId="0" applyNumberFormat="1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horizontal="center" vertical="center"/>
    </xf>
    <xf numFmtId="164" fontId="8" fillId="11" borderId="2" xfId="0" applyNumberFormat="1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 wrapText="1"/>
    </xf>
    <xf numFmtId="0" fontId="15" fillId="11" borderId="2" xfId="0" applyFont="1" applyFill="1" applyBorder="1" applyAlignment="1">
      <alignment horizontal="left" vertical="center" wrapText="1"/>
    </xf>
    <xf numFmtId="166" fontId="16" fillId="10" borderId="3" xfId="0" applyNumberFormat="1" applyFont="1" applyFill="1" applyBorder="1" applyAlignment="1">
      <alignment horizontal="center" vertical="center" wrapText="1"/>
    </xf>
    <xf numFmtId="166" fontId="16" fillId="11" borderId="3" xfId="0" applyNumberFormat="1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11" borderId="10" xfId="0" applyFont="1" applyFill="1" applyBorder="1" applyAlignment="1">
      <alignment horizontal="center" vertical="center" wrapText="1"/>
    </xf>
    <xf numFmtId="165" fontId="7" fillId="11" borderId="11" xfId="0" applyNumberFormat="1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 wrapText="1"/>
    </xf>
    <xf numFmtId="165" fontId="7" fillId="10" borderId="11" xfId="0" applyNumberFormat="1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164" fontId="8" fillId="10" borderId="14" xfId="0" applyNumberFormat="1" applyFont="1" applyFill="1" applyBorder="1" applyAlignment="1">
      <alignment horizontal="center" vertical="center" wrapText="1"/>
    </xf>
    <xf numFmtId="164" fontId="9" fillId="10" borderId="14" xfId="0" applyNumberFormat="1" applyFont="1" applyFill="1" applyBorder="1" applyAlignment="1">
      <alignment horizontal="center" vertical="center" wrapText="1"/>
    </xf>
    <xf numFmtId="164" fontId="7" fillId="10" borderId="14" xfId="0" applyNumberFormat="1" applyFont="1" applyFill="1" applyBorder="1" applyAlignment="1">
      <alignment horizontal="center" vertical="center"/>
    </xf>
    <xf numFmtId="165" fontId="7" fillId="10" borderId="15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 wrapText="1"/>
    </xf>
    <xf numFmtId="166" fontId="16" fillId="10" borderId="16" xfId="0" applyNumberFormat="1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164" fontId="8" fillId="11" borderId="14" xfId="0" applyNumberFormat="1" applyFont="1" applyFill="1" applyBorder="1" applyAlignment="1">
      <alignment horizontal="center" vertical="center" wrapText="1"/>
    </xf>
    <xf numFmtId="166" fontId="16" fillId="11" borderId="16" xfId="0" applyNumberFormat="1" applyFont="1" applyFill="1" applyBorder="1" applyAlignment="1">
      <alignment horizontal="center" vertical="center" wrapText="1"/>
    </xf>
    <xf numFmtId="164" fontId="9" fillId="11" borderId="14" xfId="0" applyNumberFormat="1" applyFont="1" applyFill="1" applyBorder="1" applyAlignment="1">
      <alignment horizontal="center" vertical="center" wrapText="1"/>
    </xf>
    <xf numFmtId="164" fontId="7" fillId="11" borderId="14" xfId="0" applyNumberFormat="1" applyFont="1" applyFill="1" applyBorder="1" applyAlignment="1">
      <alignment horizontal="center" vertical="center"/>
    </xf>
    <xf numFmtId="165" fontId="7" fillId="11" borderId="15" xfId="0" applyNumberFormat="1" applyFont="1" applyFill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textRotation="90" wrapText="1"/>
    </xf>
    <xf numFmtId="0" fontId="17" fillId="11" borderId="13" xfId="0" applyFont="1" applyFill="1" applyBorder="1" applyAlignment="1">
      <alignment horizontal="center" vertical="center" textRotation="90" wrapText="1"/>
    </xf>
    <xf numFmtId="0" fontId="18" fillId="11" borderId="4" xfId="0" applyFont="1" applyFill="1" applyBorder="1" applyAlignment="1">
      <alignment horizontal="center" vertical="center" textRotation="90" wrapText="1"/>
    </xf>
    <xf numFmtId="0" fontId="18" fillId="11" borderId="5" xfId="0" applyFont="1" applyFill="1" applyBorder="1" applyAlignment="1">
      <alignment horizontal="center" vertical="center" textRotation="90" wrapText="1"/>
    </xf>
    <xf numFmtId="0" fontId="18" fillId="11" borderId="13" xfId="0" applyFont="1" applyFill="1" applyBorder="1" applyAlignment="1">
      <alignment horizontal="center" vertical="center" textRotation="90" wrapText="1"/>
    </xf>
    <xf numFmtId="0" fontId="6" fillId="9" borderId="7" xfId="0" applyFont="1" applyFill="1" applyBorder="1" applyAlignment="1">
      <alignment horizontal="left" vertical="center"/>
    </xf>
    <xf numFmtId="0" fontId="6" fillId="9" borderId="8" xfId="0" applyFont="1" applyFill="1" applyBorder="1" applyAlignment="1">
      <alignment horizontal="left" vertical="center"/>
    </xf>
    <xf numFmtId="0" fontId="6" fillId="9" borderId="9" xfId="0" applyFont="1" applyFill="1" applyBorder="1" applyAlignment="1">
      <alignment horizontal="left" vertical="center"/>
    </xf>
    <xf numFmtId="0" fontId="8" fillId="10" borderId="4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center" vertical="center" textRotation="90" wrapText="1"/>
    </xf>
    <xf numFmtId="0" fontId="18" fillId="10" borderId="5" xfId="0" applyFont="1" applyFill="1" applyBorder="1" applyAlignment="1">
      <alignment horizontal="center" vertical="center" textRotation="90" wrapText="1"/>
    </xf>
    <xf numFmtId="0" fontId="18" fillId="10" borderId="13" xfId="0" applyFont="1" applyFill="1" applyBorder="1" applyAlignment="1">
      <alignment horizontal="center" vertical="center" textRotation="90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5" fillId="0" borderId="0" xfId="0" applyFont="1" applyBorder="1"/>
    <xf numFmtId="0" fontId="11" fillId="2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5F9FF"/>
      <rgbColor rgb="FFD6E4F0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C5C5C5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2" sqref="G12"/>
    </sheetView>
  </sheetViews>
  <sheetFormatPr defaultColWidth="8.6328125" defaultRowHeight="14.5" x14ac:dyDescent="0.35"/>
  <cols>
    <col min="1" max="1" width="4" customWidth="1"/>
    <col min="2" max="2" width="9.6328125" customWidth="1"/>
    <col min="3" max="3" width="13.6328125" style="36" customWidth="1"/>
    <col min="4" max="4" width="17" customWidth="1"/>
    <col min="5" max="5" width="24" customWidth="1"/>
    <col min="6" max="6" width="16" customWidth="1"/>
    <col min="7" max="7" width="14" customWidth="1"/>
    <col min="8" max="8" width="12" customWidth="1"/>
    <col min="9" max="9" width="13" customWidth="1"/>
    <col min="10" max="10" width="11" customWidth="1"/>
  </cols>
  <sheetData>
    <row r="1" spans="1:10" ht="25.5" customHeight="1" x14ac:dyDescent="0.35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ht="15" customHeight="1" x14ac:dyDescent="0.35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80"/>
    </row>
    <row r="3" spans="1:10" ht="36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15.75" customHeight="1" x14ac:dyDescent="0.35">
      <c r="A4" s="81" t="s">
        <v>12</v>
      </c>
      <c r="B4" s="81"/>
      <c r="C4" s="2" t="s">
        <v>13</v>
      </c>
      <c r="D4" s="3" t="s">
        <v>14</v>
      </c>
      <c r="E4" s="4" t="s">
        <v>15</v>
      </c>
      <c r="F4" s="5" t="s">
        <v>16</v>
      </c>
      <c r="G4" s="6" t="s">
        <v>17</v>
      </c>
      <c r="H4" s="82" t="s">
        <v>18</v>
      </c>
      <c r="I4" s="82"/>
      <c r="J4" s="82"/>
    </row>
    <row r="5" spans="1:10" ht="18" customHeight="1" x14ac:dyDescent="0.35">
      <c r="A5" s="66" t="s">
        <v>19</v>
      </c>
      <c r="B5" s="67"/>
      <c r="C5" s="67"/>
      <c r="D5" s="67"/>
      <c r="E5" s="67"/>
      <c r="F5" s="67"/>
      <c r="G5" s="67"/>
      <c r="H5" s="67"/>
      <c r="I5" s="67"/>
      <c r="J5" s="68"/>
    </row>
    <row r="6" spans="1:10" ht="21.75" customHeight="1" x14ac:dyDescent="0.35">
      <c r="A6" s="39">
        <v>1</v>
      </c>
      <c r="B6" s="72" t="s">
        <v>20</v>
      </c>
      <c r="C6" s="69" t="s">
        <v>21</v>
      </c>
      <c r="D6" s="7" t="s">
        <v>22</v>
      </c>
      <c r="E6" s="9" t="s">
        <v>13</v>
      </c>
      <c r="F6" s="10">
        <v>100</v>
      </c>
      <c r="G6" s="32">
        <v>329</v>
      </c>
      <c r="H6" s="11">
        <v>0</v>
      </c>
      <c r="I6" s="12">
        <f t="shared" ref="I6:I25" si="0">IFERROR(IF(OR(G6="",G6=0,F6="—",F6=""),"",G6-F6-H6),"")</f>
        <v>229</v>
      </c>
      <c r="J6" s="40">
        <f t="shared" ref="J6:J25" si="1">IFERROR(IF(OR(I6="",G6=0,G6=""),"",I6/G6),"")</f>
        <v>0.69604863221884494</v>
      </c>
    </row>
    <row r="7" spans="1:10" ht="21.75" customHeight="1" x14ac:dyDescent="0.35">
      <c r="A7" s="37">
        <v>2</v>
      </c>
      <c r="B7" s="73"/>
      <c r="C7" s="70"/>
      <c r="D7" s="13" t="s">
        <v>23</v>
      </c>
      <c r="E7" s="9" t="s">
        <v>13</v>
      </c>
      <c r="F7" s="15">
        <v>79</v>
      </c>
      <c r="G7" s="33">
        <v>349</v>
      </c>
      <c r="H7" s="16">
        <v>0</v>
      </c>
      <c r="I7" s="17">
        <f t="shared" si="0"/>
        <v>270</v>
      </c>
      <c r="J7" s="38">
        <f t="shared" si="1"/>
        <v>0.77363896848137537</v>
      </c>
    </row>
    <row r="8" spans="1:10" ht="21.75" customHeight="1" x14ac:dyDescent="0.35">
      <c r="A8" s="39">
        <v>3</v>
      </c>
      <c r="B8" s="73"/>
      <c r="C8" s="70"/>
      <c r="D8" s="7" t="s">
        <v>24</v>
      </c>
      <c r="E8" s="9" t="s">
        <v>13</v>
      </c>
      <c r="F8" s="10">
        <v>200</v>
      </c>
      <c r="G8" s="32">
        <v>579</v>
      </c>
      <c r="H8" s="11">
        <v>0</v>
      </c>
      <c r="I8" s="12">
        <f t="shared" si="0"/>
        <v>379</v>
      </c>
      <c r="J8" s="40">
        <f t="shared" si="1"/>
        <v>0.65457685664939547</v>
      </c>
    </row>
    <row r="9" spans="1:10" ht="21.75" customHeight="1" x14ac:dyDescent="0.35">
      <c r="A9" s="37">
        <v>4</v>
      </c>
      <c r="B9" s="73"/>
      <c r="C9" s="70"/>
      <c r="D9" s="13" t="s">
        <v>25</v>
      </c>
      <c r="E9" s="9" t="s">
        <v>13</v>
      </c>
      <c r="F9" s="15">
        <v>250</v>
      </c>
      <c r="G9" s="33">
        <v>629</v>
      </c>
      <c r="H9" s="16">
        <v>0</v>
      </c>
      <c r="I9" s="17">
        <f t="shared" si="0"/>
        <v>379</v>
      </c>
      <c r="J9" s="38">
        <f t="shared" si="1"/>
        <v>0.60254372019077906</v>
      </c>
    </row>
    <row r="10" spans="1:10" ht="21.75" customHeight="1" x14ac:dyDescent="0.35">
      <c r="A10" s="39">
        <v>5</v>
      </c>
      <c r="B10" s="73"/>
      <c r="C10" s="70"/>
      <c r="D10" s="7" t="s">
        <v>26</v>
      </c>
      <c r="E10" s="9" t="s">
        <v>13</v>
      </c>
      <c r="F10" s="10">
        <v>300</v>
      </c>
      <c r="G10" s="32">
        <v>879</v>
      </c>
      <c r="H10" s="11">
        <v>0</v>
      </c>
      <c r="I10" s="12">
        <f t="shared" si="0"/>
        <v>579</v>
      </c>
      <c r="J10" s="40">
        <f t="shared" si="1"/>
        <v>0.65870307167235498</v>
      </c>
    </row>
    <row r="11" spans="1:10" ht="21.75" customHeight="1" x14ac:dyDescent="0.35">
      <c r="A11" s="37">
        <v>6</v>
      </c>
      <c r="B11" s="73"/>
      <c r="C11" s="70"/>
      <c r="D11" s="13" t="s">
        <v>27</v>
      </c>
      <c r="E11" s="9" t="s">
        <v>13</v>
      </c>
      <c r="F11" s="15">
        <v>350</v>
      </c>
      <c r="G11" s="33">
        <v>999</v>
      </c>
      <c r="H11" s="16">
        <v>0</v>
      </c>
      <c r="I11" s="17">
        <f t="shared" si="0"/>
        <v>649</v>
      </c>
      <c r="J11" s="38">
        <f t="shared" si="1"/>
        <v>0.64964964964964966</v>
      </c>
    </row>
    <row r="12" spans="1:10" ht="21.75" customHeight="1" x14ac:dyDescent="0.35">
      <c r="A12" s="39">
        <v>7</v>
      </c>
      <c r="B12" s="73"/>
      <c r="C12" s="71"/>
      <c r="D12" s="7" t="s">
        <v>28</v>
      </c>
      <c r="E12" s="9" t="s">
        <v>13</v>
      </c>
      <c r="F12" s="10">
        <v>425</v>
      </c>
      <c r="G12" s="32">
        <v>1399</v>
      </c>
      <c r="H12" s="11">
        <v>0</v>
      </c>
      <c r="I12" s="12">
        <f t="shared" si="0"/>
        <v>974</v>
      </c>
      <c r="J12" s="40">
        <f t="shared" si="1"/>
        <v>0.69621157969978553</v>
      </c>
    </row>
    <row r="13" spans="1:10" ht="21.75" customHeight="1" x14ac:dyDescent="0.35">
      <c r="A13" s="37">
        <v>8</v>
      </c>
      <c r="B13" s="73"/>
      <c r="C13" s="75" t="s">
        <v>29</v>
      </c>
      <c r="D13" s="13" t="s">
        <v>30</v>
      </c>
      <c r="E13" s="9" t="s">
        <v>13</v>
      </c>
      <c r="F13" s="15">
        <v>112.5</v>
      </c>
      <c r="G13" s="33">
        <v>349</v>
      </c>
      <c r="H13" s="16">
        <v>0</v>
      </c>
      <c r="I13" s="17">
        <f t="shared" si="0"/>
        <v>236.5</v>
      </c>
      <c r="J13" s="38">
        <f t="shared" si="1"/>
        <v>0.67765042979942691</v>
      </c>
    </row>
    <row r="14" spans="1:10" ht="21.75" customHeight="1" x14ac:dyDescent="0.35">
      <c r="A14" s="39">
        <v>9</v>
      </c>
      <c r="B14" s="73"/>
      <c r="C14" s="76"/>
      <c r="D14" s="7" t="s">
        <v>23</v>
      </c>
      <c r="E14" s="9" t="s">
        <v>13</v>
      </c>
      <c r="F14" s="10">
        <v>190</v>
      </c>
      <c r="G14" s="32">
        <v>349</v>
      </c>
      <c r="H14" s="11">
        <v>0</v>
      </c>
      <c r="I14" s="12">
        <f t="shared" si="0"/>
        <v>159</v>
      </c>
      <c r="J14" s="40">
        <f t="shared" si="1"/>
        <v>0.45558739255014324</v>
      </c>
    </row>
    <row r="15" spans="1:10" ht="21.75" customHeight="1" x14ac:dyDescent="0.35">
      <c r="A15" s="37">
        <v>10</v>
      </c>
      <c r="B15" s="73"/>
      <c r="C15" s="77"/>
      <c r="D15" s="13" t="s">
        <v>27</v>
      </c>
      <c r="E15" s="9" t="s">
        <v>13</v>
      </c>
      <c r="F15" s="15">
        <v>425</v>
      </c>
      <c r="G15" s="33">
        <v>349</v>
      </c>
      <c r="H15" s="16">
        <v>0</v>
      </c>
      <c r="I15" s="17">
        <f t="shared" si="0"/>
        <v>-76</v>
      </c>
      <c r="J15" s="38">
        <f t="shared" si="1"/>
        <v>-0.2177650429799427</v>
      </c>
    </row>
    <row r="16" spans="1:10" ht="21.75" customHeight="1" x14ac:dyDescent="0.35">
      <c r="A16" s="39">
        <v>11</v>
      </c>
      <c r="B16" s="73"/>
      <c r="C16" s="69" t="s">
        <v>31</v>
      </c>
      <c r="D16" s="7" t="s">
        <v>22</v>
      </c>
      <c r="E16" s="18" t="s">
        <v>17</v>
      </c>
      <c r="F16" s="10">
        <v>39</v>
      </c>
      <c r="G16" s="32">
        <v>449</v>
      </c>
      <c r="H16" s="11">
        <v>0</v>
      </c>
      <c r="I16" s="12">
        <f t="shared" si="0"/>
        <v>410</v>
      </c>
      <c r="J16" s="40">
        <f t="shared" si="1"/>
        <v>0.9131403118040089</v>
      </c>
    </row>
    <row r="17" spans="1:10" ht="21.75" customHeight="1" x14ac:dyDescent="0.35">
      <c r="A17" s="37">
        <v>12</v>
      </c>
      <c r="B17" s="73"/>
      <c r="C17" s="70"/>
      <c r="D17" s="13" t="s">
        <v>32</v>
      </c>
      <c r="E17" s="18" t="s">
        <v>17</v>
      </c>
      <c r="F17" s="15">
        <v>150</v>
      </c>
      <c r="G17" s="33">
        <v>449</v>
      </c>
      <c r="H17" s="16">
        <v>0</v>
      </c>
      <c r="I17" s="17">
        <f t="shared" si="0"/>
        <v>299</v>
      </c>
      <c r="J17" s="38">
        <f t="shared" si="1"/>
        <v>0.66592427616926508</v>
      </c>
    </row>
    <row r="18" spans="1:10" ht="21.75" customHeight="1" x14ac:dyDescent="0.35">
      <c r="A18" s="39">
        <v>13</v>
      </c>
      <c r="B18" s="73"/>
      <c r="C18" s="70"/>
      <c r="D18" s="7" t="s">
        <v>23</v>
      </c>
      <c r="E18" s="18" t="s">
        <v>17</v>
      </c>
      <c r="F18" s="10">
        <v>79</v>
      </c>
      <c r="G18" s="32">
        <v>449</v>
      </c>
      <c r="H18" s="11">
        <v>0</v>
      </c>
      <c r="I18" s="12">
        <f t="shared" si="0"/>
        <v>370</v>
      </c>
      <c r="J18" s="40">
        <f t="shared" si="1"/>
        <v>0.82405345211581293</v>
      </c>
    </row>
    <row r="19" spans="1:10" ht="21.75" customHeight="1" x14ac:dyDescent="0.35">
      <c r="A19" s="37">
        <v>14</v>
      </c>
      <c r="B19" s="73"/>
      <c r="C19" s="70"/>
      <c r="D19" s="13" t="s">
        <v>33</v>
      </c>
      <c r="E19" s="18" t="s">
        <v>17</v>
      </c>
      <c r="F19" s="15">
        <v>265</v>
      </c>
      <c r="G19" s="33">
        <v>449</v>
      </c>
      <c r="H19" s="16">
        <v>0</v>
      </c>
      <c r="I19" s="17">
        <f t="shared" si="0"/>
        <v>184</v>
      </c>
      <c r="J19" s="38">
        <f t="shared" si="1"/>
        <v>0.40979955456570155</v>
      </c>
    </row>
    <row r="20" spans="1:10" ht="21.75" customHeight="1" x14ac:dyDescent="0.35">
      <c r="A20" s="39">
        <v>15</v>
      </c>
      <c r="B20" s="73"/>
      <c r="C20" s="70"/>
      <c r="D20" s="7" t="s">
        <v>24</v>
      </c>
      <c r="E20" s="18" t="s">
        <v>17</v>
      </c>
      <c r="F20" s="10">
        <v>139</v>
      </c>
      <c r="G20" s="32">
        <v>449</v>
      </c>
      <c r="H20" s="11">
        <v>0</v>
      </c>
      <c r="I20" s="12">
        <f t="shared" si="0"/>
        <v>310</v>
      </c>
      <c r="J20" s="40">
        <f t="shared" si="1"/>
        <v>0.69042316258351888</v>
      </c>
    </row>
    <row r="21" spans="1:10" ht="21.75" customHeight="1" x14ac:dyDescent="0.35">
      <c r="A21" s="37">
        <v>16</v>
      </c>
      <c r="B21" s="73"/>
      <c r="C21" s="70"/>
      <c r="D21" s="13" t="s">
        <v>25</v>
      </c>
      <c r="E21" s="18" t="s">
        <v>17</v>
      </c>
      <c r="F21" s="15">
        <v>169</v>
      </c>
      <c r="G21" s="33">
        <v>449</v>
      </c>
      <c r="H21" s="16">
        <v>0</v>
      </c>
      <c r="I21" s="17">
        <f t="shared" si="0"/>
        <v>280</v>
      </c>
      <c r="J21" s="38">
        <f t="shared" si="1"/>
        <v>0.62360801781737196</v>
      </c>
    </row>
    <row r="22" spans="1:10" ht="21.75" customHeight="1" x14ac:dyDescent="0.35">
      <c r="A22" s="39">
        <v>17</v>
      </c>
      <c r="B22" s="73"/>
      <c r="C22" s="70"/>
      <c r="D22" s="7" t="s">
        <v>26</v>
      </c>
      <c r="E22" s="18" t="s">
        <v>17</v>
      </c>
      <c r="F22" s="10">
        <v>450</v>
      </c>
      <c r="G22" s="32">
        <v>449</v>
      </c>
      <c r="H22" s="11">
        <v>0</v>
      </c>
      <c r="I22" s="12">
        <f t="shared" si="0"/>
        <v>-1</v>
      </c>
      <c r="J22" s="40">
        <f t="shared" si="1"/>
        <v>-2.2271714922048997E-3</v>
      </c>
    </row>
    <row r="23" spans="1:10" ht="21.75" customHeight="1" x14ac:dyDescent="0.35">
      <c r="A23" s="37">
        <v>18</v>
      </c>
      <c r="B23" s="73"/>
      <c r="C23" s="71"/>
      <c r="D23" s="13" t="s">
        <v>27</v>
      </c>
      <c r="E23" s="18" t="s">
        <v>17</v>
      </c>
      <c r="F23" s="15">
        <v>480</v>
      </c>
      <c r="G23" s="33">
        <v>449</v>
      </c>
      <c r="H23" s="16">
        <v>0</v>
      </c>
      <c r="I23" s="17">
        <f t="shared" si="0"/>
        <v>-31</v>
      </c>
      <c r="J23" s="38">
        <f t="shared" si="1"/>
        <v>-6.9042316258351888E-2</v>
      </c>
    </row>
    <row r="24" spans="1:10" ht="21.75" customHeight="1" x14ac:dyDescent="0.35">
      <c r="A24" s="39">
        <v>19</v>
      </c>
      <c r="B24" s="73"/>
      <c r="C24" s="34" t="s">
        <v>34</v>
      </c>
      <c r="D24" s="7" t="s">
        <v>35</v>
      </c>
      <c r="E24" s="18" t="s">
        <v>17</v>
      </c>
      <c r="F24" s="19" t="s">
        <v>35</v>
      </c>
      <c r="G24" s="32">
        <v>279</v>
      </c>
      <c r="H24" s="11">
        <v>0</v>
      </c>
      <c r="I24" s="12" t="str">
        <f t="shared" si="0"/>
        <v/>
      </c>
      <c r="J24" s="40" t="str">
        <f t="shared" si="1"/>
        <v/>
      </c>
    </row>
    <row r="25" spans="1:10" ht="21.75" customHeight="1" x14ac:dyDescent="0.35">
      <c r="A25" s="51">
        <v>20</v>
      </c>
      <c r="B25" s="74"/>
      <c r="C25" s="60" t="s">
        <v>36</v>
      </c>
      <c r="D25" s="52" t="s">
        <v>37</v>
      </c>
      <c r="E25" s="53" t="s">
        <v>14</v>
      </c>
      <c r="F25" s="54">
        <v>49</v>
      </c>
      <c r="G25" s="55">
        <v>229</v>
      </c>
      <c r="H25" s="56">
        <v>0</v>
      </c>
      <c r="I25" s="57">
        <f t="shared" si="0"/>
        <v>180</v>
      </c>
      <c r="J25" s="58">
        <f t="shared" si="1"/>
        <v>0.78602620087336239</v>
      </c>
    </row>
    <row r="26" spans="1:10" ht="18" customHeight="1" x14ac:dyDescent="0.35">
      <c r="A26" s="66" t="s">
        <v>38</v>
      </c>
      <c r="B26" s="67"/>
      <c r="C26" s="67"/>
      <c r="D26" s="67"/>
      <c r="E26" s="67"/>
      <c r="F26" s="67"/>
      <c r="G26" s="67"/>
      <c r="H26" s="67"/>
      <c r="I26" s="67"/>
      <c r="J26" s="68"/>
    </row>
    <row r="27" spans="1:10" ht="21.75" customHeight="1" x14ac:dyDescent="0.35">
      <c r="A27" s="39">
        <v>21</v>
      </c>
      <c r="B27" s="72" t="s">
        <v>39</v>
      </c>
      <c r="C27" s="34" t="s">
        <v>40</v>
      </c>
      <c r="D27" s="7" t="s">
        <v>35</v>
      </c>
      <c r="E27" s="20" t="s">
        <v>14</v>
      </c>
      <c r="F27" s="19" t="s">
        <v>35</v>
      </c>
      <c r="G27" s="32">
        <v>229</v>
      </c>
      <c r="H27" s="11">
        <v>0</v>
      </c>
      <c r="I27" s="12" t="str">
        <f t="shared" ref="I27:I34" si="2">IFERROR(IF(OR(G27="",G27=0,F27="—",F27=""),"",G27-F27-H27),"")</f>
        <v/>
      </c>
      <c r="J27" s="40" t="str">
        <f t="shared" ref="J27:J34" si="3">IFERROR(IF(OR(I27="",G27=0,G27=""),"",I27/G27),"")</f>
        <v/>
      </c>
    </row>
    <row r="28" spans="1:10" ht="21.75" customHeight="1" x14ac:dyDescent="0.35">
      <c r="A28" s="37">
        <v>22</v>
      </c>
      <c r="B28" s="73"/>
      <c r="C28" s="75" t="s">
        <v>41</v>
      </c>
      <c r="D28" s="13" t="s">
        <v>22</v>
      </c>
      <c r="E28" s="9" t="s">
        <v>13</v>
      </c>
      <c r="F28" s="15">
        <v>75</v>
      </c>
      <c r="G28" s="33">
        <v>279</v>
      </c>
      <c r="H28" s="16">
        <v>0</v>
      </c>
      <c r="I28" s="17">
        <f t="shared" si="2"/>
        <v>204</v>
      </c>
      <c r="J28" s="38">
        <f t="shared" si="3"/>
        <v>0.73118279569892475</v>
      </c>
    </row>
    <row r="29" spans="1:10" ht="21.75" customHeight="1" x14ac:dyDescent="0.35">
      <c r="A29" s="39">
        <v>23</v>
      </c>
      <c r="B29" s="73"/>
      <c r="C29" s="77"/>
      <c r="D29" s="7" t="s">
        <v>23</v>
      </c>
      <c r="E29" s="9" t="s">
        <v>13</v>
      </c>
      <c r="F29" s="10">
        <v>89</v>
      </c>
      <c r="G29" s="32">
        <v>279</v>
      </c>
      <c r="H29" s="11">
        <v>0</v>
      </c>
      <c r="I29" s="12">
        <f t="shared" si="2"/>
        <v>190</v>
      </c>
      <c r="J29" s="40">
        <f t="shared" si="3"/>
        <v>0.68100358422939067</v>
      </c>
    </row>
    <row r="30" spans="1:10" ht="21.75" customHeight="1" x14ac:dyDescent="0.35">
      <c r="A30" s="37">
        <v>24</v>
      </c>
      <c r="B30" s="73"/>
      <c r="C30" s="35" t="s">
        <v>42</v>
      </c>
      <c r="D30" s="13" t="s">
        <v>37</v>
      </c>
      <c r="E30" s="20" t="s">
        <v>14</v>
      </c>
      <c r="F30" s="15">
        <v>39</v>
      </c>
      <c r="G30" s="33">
        <v>229</v>
      </c>
      <c r="H30" s="16">
        <v>0</v>
      </c>
      <c r="I30" s="17">
        <f t="shared" si="2"/>
        <v>190</v>
      </c>
      <c r="J30" s="38">
        <f t="shared" si="3"/>
        <v>0.82969432314410485</v>
      </c>
    </row>
    <row r="31" spans="1:10" ht="21.75" customHeight="1" x14ac:dyDescent="0.35">
      <c r="A31" s="39">
        <v>25</v>
      </c>
      <c r="B31" s="73"/>
      <c r="C31" s="34" t="s">
        <v>42</v>
      </c>
      <c r="D31" s="7" t="s">
        <v>22</v>
      </c>
      <c r="E31" s="20" t="s">
        <v>14</v>
      </c>
      <c r="F31" s="10">
        <v>52</v>
      </c>
      <c r="G31" s="32">
        <v>229</v>
      </c>
      <c r="H31" s="11">
        <v>0</v>
      </c>
      <c r="I31" s="12">
        <f t="shared" si="2"/>
        <v>177</v>
      </c>
      <c r="J31" s="40">
        <f t="shared" si="3"/>
        <v>0.77292576419213976</v>
      </c>
    </row>
    <row r="32" spans="1:10" ht="21.75" customHeight="1" x14ac:dyDescent="0.35">
      <c r="A32" s="37">
        <v>26</v>
      </c>
      <c r="B32" s="73"/>
      <c r="C32" s="35" t="s">
        <v>43</v>
      </c>
      <c r="D32" s="13" t="s">
        <v>44</v>
      </c>
      <c r="E32" s="20" t="s">
        <v>14</v>
      </c>
      <c r="F32" s="15">
        <v>69</v>
      </c>
      <c r="G32" s="33">
        <v>299</v>
      </c>
      <c r="H32" s="16">
        <v>0</v>
      </c>
      <c r="I32" s="17">
        <f t="shared" si="2"/>
        <v>230</v>
      </c>
      <c r="J32" s="38">
        <f t="shared" si="3"/>
        <v>0.76923076923076927</v>
      </c>
    </row>
    <row r="33" spans="1:10" ht="21.75" customHeight="1" x14ac:dyDescent="0.35">
      <c r="A33" s="39">
        <v>27</v>
      </c>
      <c r="B33" s="73"/>
      <c r="C33" s="34" t="s">
        <v>45</v>
      </c>
      <c r="D33" s="7" t="s">
        <v>35</v>
      </c>
      <c r="E33" s="18" t="s">
        <v>17</v>
      </c>
      <c r="F33" s="19" t="s">
        <v>35</v>
      </c>
      <c r="G33" s="32">
        <v>349</v>
      </c>
      <c r="H33" s="11">
        <v>0</v>
      </c>
      <c r="I33" s="12" t="str">
        <f t="shared" si="2"/>
        <v/>
      </c>
      <c r="J33" s="40" t="str">
        <f t="shared" si="3"/>
        <v/>
      </c>
    </row>
    <row r="34" spans="1:10" ht="21.75" customHeight="1" x14ac:dyDescent="0.35">
      <c r="A34" s="51">
        <v>28</v>
      </c>
      <c r="B34" s="74"/>
      <c r="C34" s="60" t="s">
        <v>46</v>
      </c>
      <c r="D34" s="52" t="s">
        <v>47</v>
      </c>
      <c r="E34" s="53" t="s">
        <v>14</v>
      </c>
      <c r="F34" s="54">
        <v>88</v>
      </c>
      <c r="G34" s="55"/>
      <c r="H34" s="56">
        <v>0</v>
      </c>
      <c r="I34" s="57" t="str">
        <f t="shared" si="2"/>
        <v/>
      </c>
      <c r="J34" s="58" t="str">
        <f t="shared" si="3"/>
        <v/>
      </c>
    </row>
    <row r="35" spans="1:10" ht="18" customHeight="1" x14ac:dyDescent="0.35">
      <c r="A35" s="66" t="s">
        <v>48</v>
      </c>
      <c r="B35" s="67"/>
      <c r="C35" s="67"/>
      <c r="D35" s="67"/>
      <c r="E35" s="67"/>
      <c r="F35" s="67"/>
      <c r="G35" s="67"/>
      <c r="H35" s="67"/>
      <c r="I35" s="67"/>
      <c r="J35" s="68"/>
    </row>
    <row r="36" spans="1:10" ht="21.75" customHeight="1" x14ac:dyDescent="0.35">
      <c r="A36" s="39">
        <v>29</v>
      </c>
      <c r="B36" s="72" t="s">
        <v>49</v>
      </c>
      <c r="C36" s="69" t="s">
        <v>50</v>
      </c>
      <c r="D36" s="7" t="s">
        <v>22</v>
      </c>
      <c r="E36" s="21" t="s">
        <v>15</v>
      </c>
      <c r="F36" s="10">
        <v>59</v>
      </c>
      <c r="G36" s="32">
        <v>249</v>
      </c>
      <c r="H36" s="11">
        <v>0</v>
      </c>
      <c r="I36" s="12">
        <f t="shared" ref="I36:I42" si="4">IFERROR(IF(OR(G36="",G36=0,F36="—",F36=""),"",G36-F36-H36),"")</f>
        <v>190</v>
      </c>
      <c r="J36" s="40">
        <f t="shared" ref="J36:J42" si="5">IFERROR(IF(OR(I36="",G36=0,G36=""),"",I36/G36),"")</f>
        <v>0.76305220883534142</v>
      </c>
    </row>
    <row r="37" spans="1:10" ht="21.75" customHeight="1" x14ac:dyDescent="0.35">
      <c r="A37" s="37">
        <v>30</v>
      </c>
      <c r="B37" s="73"/>
      <c r="C37" s="71"/>
      <c r="D37" s="13" t="s">
        <v>23</v>
      </c>
      <c r="E37" s="21" t="s">
        <v>15</v>
      </c>
      <c r="F37" s="15">
        <v>75</v>
      </c>
      <c r="G37" s="33">
        <v>249</v>
      </c>
      <c r="H37" s="16">
        <v>0</v>
      </c>
      <c r="I37" s="17">
        <f t="shared" si="4"/>
        <v>174</v>
      </c>
      <c r="J37" s="38">
        <f t="shared" si="5"/>
        <v>0.6987951807228916</v>
      </c>
    </row>
    <row r="38" spans="1:10" ht="21.75" customHeight="1" x14ac:dyDescent="0.35">
      <c r="A38" s="39">
        <v>31</v>
      </c>
      <c r="B38" s="73"/>
      <c r="C38" s="34" t="s">
        <v>51</v>
      </c>
      <c r="D38" s="7" t="s">
        <v>37</v>
      </c>
      <c r="E38" s="21" t="s">
        <v>15</v>
      </c>
      <c r="F38" s="10">
        <v>39</v>
      </c>
      <c r="G38" s="32">
        <v>249</v>
      </c>
      <c r="H38" s="11">
        <v>0</v>
      </c>
      <c r="I38" s="12">
        <f t="shared" si="4"/>
        <v>210</v>
      </c>
      <c r="J38" s="40">
        <f t="shared" si="5"/>
        <v>0.84337349397590367</v>
      </c>
    </row>
    <row r="39" spans="1:10" ht="21.75" customHeight="1" x14ac:dyDescent="0.35">
      <c r="A39" s="37">
        <v>32</v>
      </c>
      <c r="B39" s="73"/>
      <c r="C39" s="35" t="s">
        <v>51</v>
      </c>
      <c r="D39" s="13" t="s">
        <v>22</v>
      </c>
      <c r="E39" s="21" t="s">
        <v>15</v>
      </c>
      <c r="F39" s="15">
        <v>75</v>
      </c>
      <c r="G39" s="33">
        <v>249</v>
      </c>
      <c r="H39" s="16">
        <v>0</v>
      </c>
      <c r="I39" s="17">
        <f t="shared" si="4"/>
        <v>174</v>
      </c>
      <c r="J39" s="38">
        <f t="shared" si="5"/>
        <v>0.6987951807228916</v>
      </c>
    </row>
    <row r="40" spans="1:10" ht="21.75" customHeight="1" x14ac:dyDescent="0.35">
      <c r="A40" s="39">
        <v>33</v>
      </c>
      <c r="B40" s="73"/>
      <c r="C40" s="34" t="s">
        <v>52</v>
      </c>
      <c r="D40" s="7" t="s">
        <v>53</v>
      </c>
      <c r="E40" s="21" t="s">
        <v>15</v>
      </c>
      <c r="F40" s="10">
        <v>95</v>
      </c>
      <c r="G40" s="32">
        <v>249</v>
      </c>
      <c r="H40" s="11">
        <v>0</v>
      </c>
      <c r="I40" s="12">
        <f t="shared" si="4"/>
        <v>154</v>
      </c>
      <c r="J40" s="40">
        <f t="shared" si="5"/>
        <v>0.61847389558232935</v>
      </c>
    </row>
    <row r="41" spans="1:10" ht="21.75" customHeight="1" x14ac:dyDescent="0.35">
      <c r="A41" s="37">
        <v>34</v>
      </c>
      <c r="B41" s="73"/>
      <c r="C41" s="35" t="s">
        <v>54</v>
      </c>
      <c r="D41" s="13" t="s">
        <v>22</v>
      </c>
      <c r="E41" s="21" t="s">
        <v>15</v>
      </c>
      <c r="F41" s="15">
        <v>45</v>
      </c>
      <c r="G41" s="33">
        <v>199</v>
      </c>
      <c r="H41" s="16">
        <v>0</v>
      </c>
      <c r="I41" s="17">
        <f t="shared" si="4"/>
        <v>154</v>
      </c>
      <c r="J41" s="38">
        <f t="shared" si="5"/>
        <v>0.77386934673366836</v>
      </c>
    </row>
    <row r="42" spans="1:10" ht="21.75" customHeight="1" x14ac:dyDescent="0.35">
      <c r="A42" s="41">
        <v>35</v>
      </c>
      <c r="B42" s="74"/>
      <c r="C42" s="42" t="s">
        <v>55</v>
      </c>
      <c r="D42" s="43" t="s">
        <v>35</v>
      </c>
      <c r="E42" s="49" t="s">
        <v>16</v>
      </c>
      <c r="F42" s="59" t="s">
        <v>35</v>
      </c>
      <c r="G42" s="50">
        <v>199</v>
      </c>
      <c r="H42" s="46">
        <v>0</v>
      </c>
      <c r="I42" s="47" t="str">
        <f t="shared" si="4"/>
        <v/>
      </c>
      <c r="J42" s="48" t="str">
        <f t="shared" si="5"/>
        <v/>
      </c>
    </row>
    <row r="43" spans="1:10" ht="18" customHeight="1" x14ac:dyDescent="0.35">
      <c r="A43" s="66" t="s">
        <v>56</v>
      </c>
      <c r="B43" s="67"/>
      <c r="C43" s="67"/>
      <c r="D43" s="67"/>
      <c r="E43" s="67"/>
      <c r="F43" s="67"/>
      <c r="G43" s="67"/>
      <c r="H43" s="67"/>
      <c r="I43" s="67"/>
      <c r="J43" s="68"/>
    </row>
    <row r="44" spans="1:10" ht="21.75" customHeight="1" x14ac:dyDescent="0.35">
      <c r="A44" s="37">
        <v>36</v>
      </c>
      <c r="B44" s="61" t="s">
        <v>57</v>
      </c>
      <c r="C44" s="35" t="s">
        <v>58</v>
      </c>
      <c r="D44" s="13" t="s">
        <v>22</v>
      </c>
      <c r="E44" s="9" t="s">
        <v>13</v>
      </c>
      <c r="F44" s="15">
        <v>49</v>
      </c>
      <c r="G44" s="33">
        <v>249</v>
      </c>
      <c r="H44" s="16">
        <v>0</v>
      </c>
      <c r="I44" s="17">
        <f>IFERROR(IF(OR(G44="",G44=0,F44="—",F44=""),"",G44-F44-H44),"")</f>
        <v>200</v>
      </c>
      <c r="J44" s="38">
        <f>IFERROR(IF(OR(I44="",G44=0,G44=""),"",I44/G44),"")</f>
        <v>0.80321285140562249</v>
      </c>
    </row>
    <row r="45" spans="1:10" ht="21.75" customHeight="1" x14ac:dyDescent="0.35">
      <c r="A45" s="41">
        <v>37</v>
      </c>
      <c r="B45" s="62"/>
      <c r="C45" s="42" t="s">
        <v>59</v>
      </c>
      <c r="D45" s="43" t="s">
        <v>22</v>
      </c>
      <c r="E45" s="44" t="s">
        <v>17</v>
      </c>
      <c r="F45" s="45">
        <v>80</v>
      </c>
      <c r="G45" s="50">
        <v>229</v>
      </c>
      <c r="H45" s="46">
        <v>0</v>
      </c>
      <c r="I45" s="47">
        <f>IFERROR(IF(OR(G45="",G45=0,F45="—",F45=""),"",G45-F45-H45),"")</f>
        <v>149</v>
      </c>
      <c r="J45" s="48">
        <f>IFERROR(IF(OR(I45="",G45=0,G45=""),"",I45/G45),"")</f>
        <v>0.6506550218340611</v>
      </c>
    </row>
    <row r="46" spans="1:10" ht="18" customHeight="1" x14ac:dyDescent="0.35">
      <c r="A46" s="66" t="s">
        <v>60</v>
      </c>
      <c r="B46" s="67"/>
      <c r="C46" s="67"/>
      <c r="D46" s="67"/>
      <c r="E46" s="67"/>
      <c r="F46" s="67"/>
      <c r="G46" s="67"/>
      <c r="H46" s="67"/>
      <c r="I46" s="67"/>
      <c r="J46" s="68"/>
    </row>
    <row r="47" spans="1:10" ht="21.75" customHeight="1" x14ac:dyDescent="0.35">
      <c r="A47" s="37">
        <v>38</v>
      </c>
      <c r="B47" s="63" t="s">
        <v>61</v>
      </c>
      <c r="C47" s="35" t="s">
        <v>62</v>
      </c>
      <c r="D47" s="13" t="s">
        <v>22</v>
      </c>
      <c r="E47" s="20" t="s">
        <v>14</v>
      </c>
      <c r="F47" s="15">
        <v>100</v>
      </c>
      <c r="G47" s="33">
        <v>299</v>
      </c>
      <c r="H47" s="16">
        <v>0</v>
      </c>
      <c r="I47" s="17">
        <f>IFERROR(IF(OR(G47="",G47=0,F47="—",F47=""),"",G47-F47-H47),"")</f>
        <v>199</v>
      </c>
      <c r="J47" s="38">
        <f>IFERROR(IF(OR(I47="",G47=0,G47=""),"",I47/G47),"")</f>
        <v>0.66555183946488294</v>
      </c>
    </row>
    <row r="48" spans="1:10" ht="21.75" customHeight="1" x14ac:dyDescent="0.35">
      <c r="A48" s="39">
        <v>39</v>
      </c>
      <c r="B48" s="64"/>
      <c r="C48" s="34" t="s">
        <v>63</v>
      </c>
      <c r="D48" s="7" t="s">
        <v>22</v>
      </c>
      <c r="E48" s="18" t="s">
        <v>17</v>
      </c>
      <c r="F48" s="10">
        <v>39</v>
      </c>
      <c r="G48" s="32">
        <v>229</v>
      </c>
      <c r="H48" s="11">
        <v>0</v>
      </c>
      <c r="I48" s="12">
        <f>IFERROR(IF(OR(G48="",G48=0,F48="—",F48=""),"",G48-F48-H48),"")</f>
        <v>190</v>
      </c>
      <c r="J48" s="40">
        <f>IFERROR(IF(OR(I48="",G48=0,G48=""),"",I48/G48),"")</f>
        <v>0.82969432314410485</v>
      </c>
    </row>
    <row r="49" spans="1:10" ht="21.75" customHeight="1" x14ac:dyDescent="0.35">
      <c r="A49" s="37">
        <v>40</v>
      </c>
      <c r="B49" s="64"/>
      <c r="C49" s="35" t="s">
        <v>64</v>
      </c>
      <c r="D49" s="13" t="s">
        <v>22</v>
      </c>
      <c r="E49" s="21" t="s">
        <v>15</v>
      </c>
      <c r="F49" s="15">
        <v>50</v>
      </c>
      <c r="G49" s="33">
        <v>269</v>
      </c>
      <c r="H49" s="16">
        <v>0</v>
      </c>
      <c r="I49" s="17">
        <f>IFERROR(IF(OR(G49="",G49=0,F49="—",F49=""),"",G49-F49-H49),"")</f>
        <v>219</v>
      </c>
      <c r="J49" s="38">
        <f>IFERROR(IF(OR(I49="",G49=0,G49=""),"",I49/G49),"")</f>
        <v>0.81412639405204457</v>
      </c>
    </row>
    <row r="50" spans="1:10" ht="21.75" customHeight="1" x14ac:dyDescent="0.35">
      <c r="A50" s="39">
        <v>41</v>
      </c>
      <c r="B50" s="64"/>
      <c r="C50" s="69" t="s">
        <v>65</v>
      </c>
      <c r="D50" s="7" t="s">
        <v>66</v>
      </c>
      <c r="E50" s="20" t="s">
        <v>14</v>
      </c>
      <c r="F50" s="10">
        <v>65</v>
      </c>
      <c r="G50" s="32">
        <v>299</v>
      </c>
      <c r="H50" s="11">
        <v>0</v>
      </c>
      <c r="I50" s="12">
        <f>IFERROR(IF(OR(G50="",G50=0,F50="—",F50=""),"",G50-F50-H50),"")</f>
        <v>234</v>
      </c>
      <c r="J50" s="40">
        <f>IFERROR(IF(OR(I50="",G50=0,G50=""),"",I50/G50),"")</f>
        <v>0.78260869565217395</v>
      </c>
    </row>
    <row r="51" spans="1:10" ht="21.75" customHeight="1" x14ac:dyDescent="0.35">
      <c r="A51" s="51">
        <v>42</v>
      </c>
      <c r="B51" s="65"/>
      <c r="C51" s="78"/>
      <c r="D51" s="52" t="s">
        <v>67</v>
      </c>
      <c r="E51" s="53" t="s">
        <v>14</v>
      </c>
      <c r="F51" s="54">
        <v>95</v>
      </c>
      <c r="G51" s="55">
        <v>299</v>
      </c>
      <c r="H51" s="56">
        <v>0</v>
      </c>
      <c r="I51" s="57">
        <f>IFERROR(IF(OR(G51="",G51=0,F51="—",F51=""),"",G51-F51-H51),"")</f>
        <v>204</v>
      </c>
      <c r="J51" s="58">
        <f>IFERROR(IF(OR(I51="",G51=0,G51=""),"",I51/G51),"")</f>
        <v>0.68227424749163879</v>
      </c>
    </row>
    <row r="52" spans="1:10" ht="18" customHeight="1" x14ac:dyDescent="0.35">
      <c r="A52" s="66" t="s">
        <v>68</v>
      </c>
      <c r="B52" s="67"/>
      <c r="C52" s="67"/>
      <c r="D52" s="67"/>
      <c r="E52" s="67"/>
      <c r="F52" s="67"/>
      <c r="G52" s="67"/>
      <c r="H52" s="67"/>
      <c r="I52" s="67"/>
      <c r="J52" s="68"/>
    </row>
    <row r="53" spans="1:10" ht="21.75" customHeight="1" x14ac:dyDescent="0.35">
      <c r="A53" s="39">
        <v>43</v>
      </c>
      <c r="B53" s="72" t="s">
        <v>69</v>
      </c>
      <c r="C53" s="34" t="s">
        <v>70</v>
      </c>
      <c r="D53" s="7" t="s">
        <v>35</v>
      </c>
      <c r="E53" s="22" t="s">
        <v>16</v>
      </c>
      <c r="F53" s="19" t="s">
        <v>35</v>
      </c>
      <c r="G53" s="32">
        <v>199</v>
      </c>
      <c r="H53" s="11">
        <v>0</v>
      </c>
      <c r="I53" s="12" t="str">
        <f>IFERROR(IF(OR(G53="",G53=0,F53="—",F53=""),"",G53-F53-H53),"")</f>
        <v/>
      </c>
      <c r="J53" s="40" t="str">
        <f>IFERROR(IF(OR(I53="",G53=0,G53=""),"",I53/G53),"")</f>
        <v/>
      </c>
    </row>
    <row r="54" spans="1:10" ht="21.75" customHeight="1" x14ac:dyDescent="0.35">
      <c r="A54" s="37">
        <v>44</v>
      </c>
      <c r="B54" s="73"/>
      <c r="C54" s="75" t="s">
        <v>71</v>
      </c>
      <c r="D54" s="13" t="s">
        <v>37</v>
      </c>
      <c r="E54" s="21" t="s">
        <v>15</v>
      </c>
      <c r="F54" s="15">
        <v>39</v>
      </c>
      <c r="G54" s="33">
        <v>229</v>
      </c>
      <c r="H54" s="16">
        <v>0</v>
      </c>
      <c r="I54" s="17">
        <f>IFERROR(IF(OR(G54="",G54=0,F54="—",F54=""),"",G54-F54-H54),"")</f>
        <v>190</v>
      </c>
      <c r="J54" s="38">
        <f>IFERROR(IF(OR(I54="",G54=0,G54=""),"",I54/G54),"")</f>
        <v>0.82969432314410485</v>
      </c>
    </row>
    <row r="55" spans="1:10" ht="21.75" customHeight="1" x14ac:dyDescent="0.35">
      <c r="A55" s="39">
        <v>45</v>
      </c>
      <c r="B55" s="73"/>
      <c r="C55" s="77"/>
      <c r="D55" s="7" t="s">
        <v>24</v>
      </c>
      <c r="E55" s="21" t="s">
        <v>15</v>
      </c>
      <c r="F55" s="10">
        <v>69</v>
      </c>
      <c r="G55" s="32">
        <v>229</v>
      </c>
      <c r="H55" s="11">
        <v>0</v>
      </c>
      <c r="I55" s="12">
        <f>IFERROR(IF(OR(G55="",G55=0,F55="—",F55=""),"",G55-F55-H55),"")</f>
        <v>160</v>
      </c>
      <c r="J55" s="40">
        <f>IFERROR(IF(OR(I55="",G55=0,G55=""),"",I55/G55),"")</f>
        <v>0.69868995633187769</v>
      </c>
    </row>
    <row r="56" spans="1:10" ht="21.75" customHeight="1" x14ac:dyDescent="0.35">
      <c r="A56" s="37">
        <v>46</v>
      </c>
      <c r="B56" s="73"/>
      <c r="C56" s="35" t="s">
        <v>72</v>
      </c>
      <c r="D56" s="13" t="s">
        <v>37</v>
      </c>
      <c r="E56" s="20" t="s">
        <v>14</v>
      </c>
      <c r="F56" s="15">
        <v>39</v>
      </c>
      <c r="G56" s="33">
        <v>199</v>
      </c>
      <c r="H56" s="16">
        <v>0</v>
      </c>
      <c r="I56" s="17">
        <f>IFERROR(IF(OR(G56="",G56=0,F56="—",F56=""),"",G56-F56-H56),"")</f>
        <v>160</v>
      </c>
      <c r="J56" s="38">
        <f>IFERROR(IF(OR(I56="",G56=0,G56=""),"",I56/G56),"")</f>
        <v>0.8040201005025126</v>
      </c>
    </row>
    <row r="57" spans="1:10" ht="21.75" customHeight="1" x14ac:dyDescent="0.35">
      <c r="A57" s="41">
        <v>47</v>
      </c>
      <c r="B57" s="74"/>
      <c r="C57" s="42" t="s">
        <v>73</v>
      </c>
      <c r="D57" s="43" t="s">
        <v>74</v>
      </c>
      <c r="E57" s="44" t="s">
        <v>17</v>
      </c>
      <c r="F57" s="45">
        <v>120</v>
      </c>
      <c r="G57" s="50">
        <v>299</v>
      </c>
      <c r="H57" s="46">
        <v>0</v>
      </c>
      <c r="I57" s="47">
        <f>IFERROR(IF(OR(G57="",G57=0,F57="—",F57=""),"",G57-F57-H57),"")</f>
        <v>179</v>
      </c>
      <c r="J57" s="48">
        <f>IFERROR(IF(OR(I57="",G57=0,G57=""),"",I57/G57),"")</f>
        <v>0.59866220735785958</v>
      </c>
    </row>
    <row r="58" spans="1:10" ht="18" customHeight="1" x14ac:dyDescent="0.35">
      <c r="A58" s="66" t="s">
        <v>75</v>
      </c>
      <c r="B58" s="67"/>
      <c r="C58" s="67"/>
      <c r="D58" s="67"/>
      <c r="E58" s="67"/>
      <c r="F58" s="67"/>
      <c r="G58" s="67"/>
      <c r="H58" s="67"/>
      <c r="I58" s="67"/>
      <c r="J58" s="68"/>
    </row>
    <row r="59" spans="1:10" ht="21.75" customHeight="1" x14ac:dyDescent="0.35">
      <c r="A59" s="37">
        <v>48</v>
      </c>
      <c r="B59" s="61" t="s">
        <v>127</v>
      </c>
      <c r="C59" s="35" t="s">
        <v>76</v>
      </c>
      <c r="D59" s="13" t="s">
        <v>77</v>
      </c>
      <c r="E59" s="22" t="s">
        <v>16</v>
      </c>
      <c r="F59" s="15">
        <v>127</v>
      </c>
      <c r="G59" s="33">
        <v>399</v>
      </c>
      <c r="H59" s="16">
        <v>0</v>
      </c>
      <c r="I59" s="17">
        <f>IFERROR(IF(OR(G59="",G59=0,F59="—",F59=""),"",G59-F59-H59),"")</f>
        <v>272</v>
      </c>
      <c r="J59" s="38">
        <f>IFERROR(IF(OR(I59="",G59=0,G59=""),"",I59/G59),"")</f>
        <v>0.68170426065162903</v>
      </c>
    </row>
    <row r="60" spans="1:10" ht="21.75" customHeight="1" x14ac:dyDescent="0.35">
      <c r="A60" s="41">
        <v>49</v>
      </c>
      <c r="B60" s="62"/>
      <c r="C60" s="42" t="s">
        <v>78</v>
      </c>
      <c r="D60" s="43" t="s">
        <v>79</v>
      </c>
      <c r="E60" s="49" t="s">
        <v>16</v>
      </c>
      <c r="F60" s="45">
        <v>140</v>
      </c>
      <c r="G60" s="50">
        <v>429</v>
      </c>
      <c r="H60" s="46">
        <v>0</v>
      </c>
      <c r="I60" s="47">
        <f>IFERROR(IF(OR(G60="",G60=0,F60="—",F60=""),"",G60-F60-H60),"")</f>
        <v>289</v>
      </c>
      <c r="J60" s="48">
        <f>IFERROR(IF(OR(I60="",G60=0,G60=""),"",I60/G60),"")</f>
        <v>0.67365967365967361</v>
      </c>
    </row>
    <row r="61" spans="1:10" ht="18" customHeight="1" x14ac:dyDescent="0.35">
      <c r="A61" s="66" t="s">
        <v>80</v>
      </c>
      <c r="B61" s="67"/>
      <c r="C61" s="67"/>
      <c r="D61" s="67"/>
      <c r="E61" s="67"/>
      <c r="F61" s="67"/>
      <c r="G61" s="67"/>
      <c r="H61" s="67"/>
      <c r="I61" s="67"/>
      <c r="J61" s="68"/>
    </row>
    <row r="62" spans="1:10" ht="21.75" customHeight="1" x14ac:dyDescent="0.35">
      <c r="A62" s="37">
        <v>50</v>
      </c>
      <c r="B62" s="63" t="s">
        <v>81</v>
      </c>
      <c r="C62" s="35" t="s">
        <v>82</v>
      </c>
      <c r="D62" s="13" t="s">
        <v>26</v>
      </c>
      <c r="E62" s="21" t="s">
        <v>15</v>
      </c>
      <c r="F62" s="15">
        <v>39</v>
      </c>
      <c r="G62" s="16"/>
      <c r="H62" s="16">
        <v>0</v>
      </c>
      <c r="I62" s="17" t="str">
        <f>IFERROR(IF(OR(G62="",G62=0,F62="—",F62=""),"",G62-F62-H62),"")</f>
        <v/>
      </c>
      <c r="J62" s="38" t="str">
        <f>IFERROR(IF(OR(I62="",G62=0,G62=""),"",I62/G62),"")</f>
        <v/>
      </c>
    </row>
    <row r="63" spans="1:10" ht="21.75" customHeight="1" x14ac:dyDescent="0.35">
      <c r="A63" s="39">
        <v>51</v>
      </c>
      <c r="B63" s="64"/>
      <c r="C63" s="34" t="s">
        <v>83</v>
      </c>
      <c r="D63" s="7" t="s">
        <v>84</v>
      </c>
      <c r="E63" s="20" t="s">
        <v>14</v>
      </c>
      <c r="F63" s="10">
        <v>75</v>
      </c>
      <c r="G63" s="11"/>
      <c r="H63" s="11">
        <v>0</v>
      </c>
      <c r="I63" s="12" t="str">
        <f>IFERROR(IF(OR(G63="",G63=0,F63="—",F63=""),"",G63-F63-H63),"")</f>
        <v/>
      </c>
      <c r="J63" s="40" t="str">
        <f>IFERROR(IF(OR(I63="",G63=0,G63=""),"",I63/G63),"")</f>
        <v/>
      </c>
    </row>
    <row r="64" spans="1:10" ht="21.75" customHeight="1" x14ac:dyDescent="0.35">
      <c r="A64" s="37">
        <v>52</v>
      </c>
      <c r="B64" s="64"/>
      <c r="C64" s="35" t="s">
        <v>85</v>
      </c>
      <c r="D64" s="13" t="s">
        <v>86</v>
      </c>
      <c r="E64" s="18" t="s">
        <v>17</v>
      </c>
      <c r="F64" s="15">
        <v>49</v>
      </c>
      <c r="G64" s="16"/>
      <c r="H64" s="16">
        <v>0</v>
      </c>
      <c r="I64" s="17" t="str">
        <f>IFERROR(IF(OR(G64="",G64=0,F64="—",F64=""),"",G64-F64-H64),"")</f>
        <v/>
      </c>
      <c r="J64" s="38" t="str">
        <f>IFERROR(IF(OR(I64="",G64=0,G64=""),"",I64/G64),"")</f>
        <v/>
      </c>
    </row>
    <row r="65" spans="1:10" ht="21.75" customHeight="1" x14ac:dyDescent="0.35">
      <c r="A65" s="41">
        <v>53</v>
      </c>
      <c r="B65" s="65"/>
      <c r="C65" s="42" t="s">
        <v>85</v>
      </c>
      <c r="D65" s="43" t="s">
        <v>87</v>
      </c>
      <c r="E65" s="44" t="s">
        <v>17</v>
      </c>
      <c r="F65" s="45">
        <v>175</v>
      </c>
      <c r="G65" s="46"/>
      <c r="H65" s="46">
        <v>0</v>
      </c>
      <c r="I65" s="47" t="str">
        <f>IFERROR(IF(OR(G65="",G65=0,F65="—",F65=""),"",G65-F65-H65),"")</f>
        <v/>
      </c>
      <c r="J65" s="48" t="str">
        <f>IFERROR(IF(OR(I65="",G65=0,G65=""),"",I65/G65),"")</f>
        <v/>
      </c>
    </row>
  </sheetData>
  <mergeCells count="27">
    <mergeCell ref="A1:J1"/>
    <mergeCell ref="A2:J2"/>
    <mergeCell ref="A4:B4"/>
    <mergeCell ref="H4:J4"/>
    <mergeCell ref="A5:J5"/>
    <mergeCell ref="B53:B57"/>
    <mergeCell ref="A26:J26"/>
    <mergeCell ref="A35:J35"/>
    <mergeCell ref="A43:J43"/>
    <mergeCell ref="A46:J46"/>
    <mergeCell ref="A52:J52"/>
    <mergeCell ref="B59:B60"/>
    <mergeCell ref="B62:B65"/>
    <mergeCell ref="A58:J58"/>
    <mergeCell ref="A61:J61"/>
    <mergeCell ref="C6:C12"/>
    <mergeCell ref="B6:B25"/>
    <mergeCell ref="C13:C15"/>
    <mergeCell ref="C16:C23"/>
    <mergeCell ref="C28:C29"/>
    <mergeCell ref="C36:C37"/>
    <mergeCell ref="C50:C51"/>
    <mergeCell ref="C54:C55"/>
    <mergeCell ref="B27:B34"/>
    <mergeCell ref="B36:B42"/>
    <mergeCell ref="B44:B45"/>
    <mergeCell ref="B47:B5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4" customWidth="1"/>
    <col min="2" max="2" width="24" customWidth="1"/>
    <col min="3" max="3" width="18" customWidth="1"/>
    <col min="4" max="4" width="22" customWidth="1"/>
    <col min="5" max="8" width="11" customWidth="1"/>
    <col min="9" max="11" width="10" customWidth="1"/>
    <col min="12" max="12" width="13" customWidth="1"/>
    <col min="13" max="13" width="38" customWidth="1"/>
  </cols>
  <sheetData>
    <row r="1" spans="1:13" ht="24" customHeight="1" x14ac:dyDescent="0.35">
      <c r="A1" s="83" t="s">
        <v>88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3" ht="13.5" customHeight="1" x14ac:dyDescent="0.35">
      <c r="A2" s="84" t="s">
        <v>89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3" ht="15.75" customHeight="1" x14ac:dyDescent="0.35">
      <c r="E3" s="85" t="s">
        <v>90</v>
      </c>
      <c r="F3" s="85"/>
      <c r="G3" s="85"/>
      <c r="H3" s="85"/>
      <c r="I3" s="85" t="s">
        <v>91</v>
      </c>
      <c r="J3" s="85"/>
      <c r="K3" s="23" t="s">
        <v>92</v>
      </c>
    </row>
    <row r="4" spans="1:13" ht="36" customHeight="1" x14ac:dyDescent="0.35">
      <c r="A4" s="1" t="s">
        <v>2</v>
      </c>
      <c r="B4" s="1" t="s">
        <v>4</v>
      </c>
      <c r="C4" s="1" t="s">
        <v>5</v>
      </c>
      <c r="D4" s="1" t="s">
        <v>93</v>
      </c>
      <c r="E4" s="1" t="s">
        <v>94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</row>
    <row r="5" spans="1:13" ht="21.75" customHeight="1" x14ac:dyDescent="0.35">
      <c r="A5" s="7">
        <v>1</v>
      </c>
      <c r="B5" s="8" t="s">
        <v>21</v>
      </c>
      <c r="C5" s="7" t="s">
        <v>22</v>
      </c>
      <c r="D5" s="9" t="s">
        <v>13</v>
      </c>
      <c r="E5" s="12">
        <v>80</v>
      </c>
      <c r="F5" s="12">
        <v>67.900000000000006</v>
      </c>
      <c r="G5" s="12">
        <v>65.8</v>
      </c>
      <c r="H5" s="12">
        <v>56</v>
      </c>
      <c r="I5" s="12">
        <v>65</v>
      </c>
      <c r="J5" s="12">
        <v>162.5</v>
      </c>
      <c r="K5" s="12">
        <v>100</v>
      </c>
      <c r="L5" s="24">
        <f t="shared" ref="L5:L36" si="0">IFERROR(IF(MAX(E5:K5)=0,"",MAX(E5:K5)),"")</f>
        <v>162.5</v>
      </c>
      <c r="M5" s="25" t="s">
        <v>103</v>
      </c>
    </row>
    <row r="6" spans="1:13" ht="21.75" customHeight="1" x14ac:dyDescent="0.35">
      <c r="A6" s="13">
        <v>2</v>
      </c>
      <c r="B6" s="14" t="s">
        <v>21</v>
      </c>
      <c r="C6" s="13" t="s">
        <v>23</v>
      </c>
      <c r="D6" s="9" t="s">
        <v>13</v>
      </c>
      <c r="E6" s="26" t="s">
        <v>35</v>
      </c>
      <c r="F6" s="26" t="s">
        <v>35</v>
      </c>
      <c r="G6" s="26" t="s">
        <v>35</v>
      </c>
      <c r="H6" s="26" t="s">
        <v>35</v>
      </c>
      <c r="I6" s="17">
        <v>79</v>
      </c>
      <c r="J6" s="17">
        <v>197.5</v>
      </c>
      <c r="K6" s="26" t="s">
        <v>35</v>
      </c>
      <c r="L6" s="27">
        <f t="shared" si="0"/>
        <v>197.5</v>
      </c>
      <c r="M6" s="28"/>
    </row>
    <row r="7" spans="1:13" ht="21.75" customHeight="1" x14ac:dyDescent="0.35">
      <c r="A7" s="7">
        <v>3</v>
      </c>
      <c r="B7" s="8" t="s">
        <v>21</v>
      </c>
      <c r="C7" s="7" t="s">
        <v>24</v>
      </c>
      <c r="D7" s="9" t="s">
        <v>13</v>
      </c>
      <c r="E7" s="12">
        <v>175</v>
      </c>
      <c r="F7" s="12">
        <v>155.19999999999999</v>
      </c>
      <c r="G7" s="12">
        <v>150.4</v>
      </c>
      <c r="H7" s="12">
        <v>128</v>
      </c>
      <c r="I7" s="12">
        <v>99</v>
      </c>
      <c r="J7" s="12">
        <v>247.5</v>
      </c>
      <c r="K7" s="12">
        <v>200</v>
      </c>
      <c r="L7" s="24">
        <f t="shared" si="0"/>
        <v>247.5</v>
      </c>
      <c r="M7" s="25"/>
    </row>
    <row r="8" spans="1:13" ht="21.75" customHeight="1" x14ac:dyDescent="0.35">
      <c r="A8" s="13">
        <v>4</v>
      </c>
      <c r="B8" s="14" t="s">
        <v>21</v>
      </c>
      <c r="C8" s="13" t="s">
        <v>25</v>
      </c>
      <c r="D8" s="9" t="s">
        <v>13</v>
      </c>
      <c r="E8" s="26" t="s">
        <v>35</v>
      </c>
      <c r="F8" s="26" t="s">
        <v>35</v>
      </c>
      <c r="G8" s="26" t="s">
        <v>35</v>
      </c>
      <c r="H8" s="26" t="s">
        <v>35</v>
      </c>
      <c r="I8" s="17">
        <v>139</v>
      </c>
      <c r="J8" s="17">
        <v>347.5</v>
      </c>
      <c r="K8" s="17">
        <v>250</v>
      </c>
      <c r="L8" s="27">
        <f t="shared" si="0"/>
        <v>347.5</v>
      </c>
      <c r="M8" s="28"/>
    </row>
    <row r="9" spans="1:13" ht="21.75" customHeight="1" x14ac:dyDescent="0.35">
      <c r="A9" s="7">
        <v>5</v>
      </c>
      <c r="B9" s="8" t="s">
        <v>21</v>
      </c>
      <c r="C9" s="7" t="s">
        <v>26</v>
      </c>
      <c r="D9" s="9" t="s">
        <v>13</v>
      </c>
      <c r="E9" s="29" t="s">
        <v>35</v>
      </c>
      <c r="F9" s="29" t="s">
        <v>35</v>
      </c>
      <c r="G9" s="29" t="s">
        <v>35</v>
      </c>
      <c r="H9" s="29" t="s">
        <v>35</v>
      </c>
      <c r="I9" s="12">
        <v>179</v>
      </c>
      <c r="J9" s="12">
        <v>447.5</v>
      </c>
      <c r="K9" s="12">
        <v>300</v>
      </c>
      <c r="L9" s="24">
        <f t="shared" si="0"/>
        <v>447.5</v>
      </c>
      <c r="M9" s="25"/>
    </row>
    <row r="10" spans="1:13" ht="21.75" customHeight="1" x14ac:dyDescent="0.35">
      <c r="A10" s="13">
        <v>6</v>
      </c>
      <c r="B10" s="14" t="s">
        <v>21</v>
      </c>
      <c r="C10" s="13" t="s">
        <v>27</v>
      </c>
      <c r="D10" s="9" t="s">
        <v>13</v>
      </c>
      <c r="E10" s="17">
        <v>300</v>
      </c>
      <c r="F10" s="17">
        <v>261.89999999999998</v>
      </c>
      <c r="G10" s="17">
        <v>253.8</v>
      </c>
      <c r="H10" s="17">
        <v>216</v>
      </c>
      <c r="I10" s="17">
        <v>199</v>
      </c>
      <c r="J10" s="17">
        <v>497.5</v>
      </c>
      <c r="K10" s="17">
        <v>350</v>
      </c>
      <c r="L10" s="27">
        <f t="shared" si="0"/>
        <v>497.5</v>
      </c>
      <c r="M10" s="28"/>
    </row>
    <row r="11" spans="1:13" ht="21.75" customHeight="1" x14ac:dyDescent="0.35">
      <c r="A11" s="7">
        <v>7</v>
      </c>
      <c r="B11" s="8" t="s">
        <v>21</v>
      </c>
      <c r="C11" s="7" t="s">
        <v>28</v>
      </c>
      <c r="D11" s="9" t="s">
        <v>13</v>
      </c>
      <c r="E11" s="12">
        <v>425</v>
      </c>
      <c r="F11" s="12">
        <v>363.75</v>
      </c>
      <c r="G11" s="12">
        <v>352.5</v>
      </c>
      <c r="H11" s="12">
        <v>300</v>
      </c>
      <c r="I11" s="29" t="s">
        <v>35</v>
      </c>
      <c r="J11" s="29" t="s">
        <v>35</v>
      </c>
      <c r="K11" s="29" t="s">
        <v>35</v>
      </c>
      <c r="L11" s="24">
        <f t="shared" si="0"/>
        <v>425</v>
      </c>
      <c r="M11" s="25"/>
    </row>
    <row r="12" spans="1:13" ht="21.75" customHeight="1" x14ac:dyDescent="0.35">
      <c r="A12" s="13">
        <v>8</v>
      </c>
      <c r="B12" s="14" t="s">
        <v>29</v>
      </c>
      <c r="C12" s="13" t="s">
        <v>30</v>
      </c>
      <c r="D12" s="9" t="s">
        <v>13</v>
      </c>
      <c r="E12" s="17">
        <v>112.5</v>
      </c>
      <c r="F12" s="26" t="s">
        <v>35</v>
      </c>
      <c r="G12" s="26" t="s">
        <v>35</v>
      </c>
      <c r="H12" s="26" t="s">
        <v>35</v>
      </c>
      <c r="I12" s="26" t="s">
        <v>35</v>
      </c>
      <c r="J12" s="26" t="s">
        <v>35</v>
      </c>
      <c r="K12" s="26" t="s">
        <v>35</v>
      </c>
      <c r="L12" s="27">
        <f t="shared" si="0"/>
        <v>112.5</v>
      </c>
      <c r="M12" s="28" t="s">
        <v>104</v>
      </c>
    </row>
    <row r="13" spans="1:13" ht="21.75" customHeight="1" x14ac:dyDescent="0.35">
      <c r="A13" s="7">
        <v>9</v>
      </c>
      <c r="B13" s="8" t="s">
        <v>29</v>
      </c>
      <c r="C13" s="7" t="s">
        <v>23</v>
      </c>
      <c r="D13" s="9" t="s">
        <v>13</v>
      </c>
      <c r="E13" s="12">
        <v>190</v>
      </c>
      <c r="F13" s="29" t="s">
        <v>35</v>
      </c>
      <c r="G13" s="29" t="s">
        <v>35</v>
      </c>
      <c r="H13" s="29" t="s">
        <v>35</v>
      </c>
      <c r="I13" s="29" t="s">
        <v>35</v>
      </c>
      <c r="J13" s="29" t="s">
        <v>35</v>
      </c>
      <c r="K13" s="29" t="s">
        <v>35</v>
      </c>
      <c r="L13" s="24">
        <f t="shared" si="0"/>
        <v>190</v>
      </c>
      <c r="M13" s="25"/>
    </row>
    <row r="14" spans="1:13" ht="21.75" customHeight="1" x14ac:dyDescent="0.35">
      <c r="A14" s="13">
        <v>10</v>
      </c>
      <c r="B14" s="14" t="s">
        <v>29</v>
      </c>
      <c r="C14" s="13" t="s">
        <v>27</v>
      </c>
      <c r="D14" s="9" t="s">
        <v>13</v>
      </c>
      <c r="E14" s="17">
        <v>425</v>
      </c>
      <c r="F14" s="26" t="s">
        <v>35</v>
      </c>
      <c r="G14" s="26" t="s">
        <v>35</v>
      </c>
      <c r="H14" s="26" t="s">
        <v>35</v>
      </c>
      <c r="I14" s="26" t="s">
        <v>35</v>
      </c>
      <c r="J14" s="26" t="s">
        <v>35</v>
      </c>
      <c r="K14" s="26" t="s">
        <v>35</v>
      </c>
      <c r="L14" s="27">
        <f t="shared" si="0"/>
        <v>425</v>
      </c>
      <c r="M14" s="28"/>
    </row>
    <row r="15" spans="1:13" ht="21.75" customHeight="1" x14ac:dyDescent="0.35">
      <c r="A15" s="7">
        <v>11</v>
      </c>
      <c r="B15" s="8" t="s">
        <v>31</v>
      </c>
      <c r="C15" s="7" t="s">
        <v>22</v>
      </c>
      <c r="D15" s="18" t="s">
        <v>17</v>
      </c>
      <c r="E15" s="29" t="s">
        <v>35</v>
      </c>
      <c r="F15" s="29" t="s">
        <v>35</v>
      </c>
      <c r="G15" s="29" t="s">
        <v>35</v>
      </c>
      <c r="H15" s="29" t="s">
        <v>35</v>
      </c>
      <c r="I15" s="12">
        <v>39</v>
      </c>
      <c r="J15" s="12">
        <v>97.5</v>
      </c>
      <c r="K15" s="29" t="s">
        <v>35</v>
      </c>
      <c r="L15" s="24">
        <f t="shared" si="0"/>
        <v>97.5</v>
      </c>
      <c r="M15" s="30" t="s">
        <v>105</v>
      </c>
    </row>
    <row r="16" spans="1:13" ht="21.75" customHeight="1" x14ac:dyDescent="0.35">
      <c r="A16" s="13">
        <v>12</v>
      </c>
      <c r="B16" s="14" t="s">
        <v>31</v>
      </c>
      <c r="C16" s="13" t="s">
        <v>32</v>
      </c>
      <c r="D16" s="18" t="s">
        <v>17</v>
      </c>
      <c r="E16" s="17">
        <v>150</v>
      </c>
      <c r="F16" s="17">
        <v>122.2</v>
      </c>
      <c r="G16" s="17">
        <v>114.4</v>
      </c>
      <c r="H16" s="17">
        <v>97.5</v>
      </c>
      <c r="I16" s="26" t="s">
        <v>35</v>
      </c>
      <c r="J16" s="26" t="s">
        <v>35</v>
      </c>
      <c r="K16" s="17">
        <v>150</v>
      </c>
      <c r="L16" s="27">
        <f t="shared" si="0"/>
        <v>150</v>
      </c>
      <c r="M16" s="28"/>
    </row>
    <row r="17" spans="1:13" ht="21.75" customHeight="1" x14ac:dyDescent="0.35">
      <c r="A17" s="7">
        <v>13</v>
      </c>
      <c r="B17" s="8" t="s">
        <v>31</v>
      </c>
      <c r="C17" s="7" t="s">
        <v>23</v>
      </c>
      <c r="D17" s="18" t="s">
        <v>17</v>
      </c>
      <c r="E17" s="29" t="s">
        <v>35</v>
      </c>
      <c r="F17" s="29" t="s">
        <v>35</v>
      </c>
      <c r="G17" s="29" t="s">
        <v>35</v>
      </c>
      <c r="H17" s="29" t="s">
        <v>35</v>
      </c>
      <c r="I17" s="12">
        <v>79</v>
      </c>
      <c r="J17" s="12">
        <v>197.5</v>
      </c>
      <c r="K17" s="29" t="s">
        <v>35</v>
      </c>
      <c r="L17" s="24">
        <f t="shared" si="0"/>
        <v>197.5</v>
      </c>
      <c r="M17" s="25"/>
    </row>
    <row r="18" spans="1:13" ht="21.75" customHeight="1" x14ac:dyDescent="0.35">
      <c r="A18" s="13">
        <v>14</v>
      </c>
      <c r="B18" s="14" t="s">
        <v>31</v>
      </c>
      <c r="C18" s="13" t="s">
        <v>33</v>
      </c>
      <c r="D18" s="18" t="s">
        <v>17</v>
      </c>
      <c r="E18" s="17">
        <v>265</v>
      </c>
      <c r="F18" s="17">
        <v>216.2</v>
      </c>
      <c r="G18" s="17">
        <v>202.4</v>
      </c>
      <c r="H18" s="17">
        <v>172.5</v>
      </c>
      <c r="I18" s="26" t="s">
        <v>35</v>
      </c>
      <c r="J18" s="26" t="s">
        <v>35</v>
      </c>
      <c r="K18" s="17">
        <v>250</v>
      </c>
      <c r="L18" s="27">
        <f t="shared" si="0"/>
        <v>265</v>
      </c>
      <c r="M18" s="28"/>
    </row>
    <row r="19" spans="1:13" ht="21.75" customHeight="1" x14ac:dyDescent="0.35">
      <c r="A19" s="7">
        <v>15</v>
      </c>
      <c r="B19" s="8" t="s">
        <v>31</v>
      </c>
      <c r="C19" s="7" t="s">
        <v>24</v>
      </c>
      <c r="D19" s="18" t="s">
        <v>17</v>
      </c>
      <c r="E19" s="29" t="s">
        <v>35</v>
      </c>
      <c r="F19" s="29" t="s">
        <v>35</v>
      </c>
      <c r="G19" s="29" t="s">
        <v>35</v>
      </c>
      <c r="H19" s="29" t="s">
        <v>35</v>
      </c>
      <c r="I19" s="12">
        <v>139</v>
      </c>
      <c r="J19" s="12">
        <v>347.5</v>
      </c>
      <c r="K19" s="29" t="s">
        <v>35</v>
      </c>
      <c r="L19" s="24">
        <f t="shared" si="0"/>
        <v>347.5</v>
      </c>
      <c r="M19" s="25"/>
    </row>
    <row r="20" spans="1:13" ht="21.75" customHeight="1" x14ac:dyDescent="0.35">
      <c r="A20" s="13">
        <v>16</v>
      </c>
      <c r="B20" s="14" t="s">
        <v>31</v>
      </c>
      <c r="C20" s="13" t="s">
        <v>25</v>
      </c>
      <c r="D20" s="18" t="s">
        <v>17</v>
      </c>
      <c r="E20" s="26" t="s">
        <v>35</v>
      </c>
      <c r="F20" s="26" t="s">
        <v>35</v>
      </c>
      <c r="G20" s="26" t="s">
        <v>35</v>
      </c>
      <c r="H20" s="26" t="s">
        <v>35</v>
      </c>
      <c r="I20" s="17">
        <v>169</v>
      </c>
      <c r="J20" s="17">
        <v>422.5</v>
      </c>
      <c r="K20" s="26" t="s">
        <v>35</v>
      </c>
      <c r="L20" s="27">
        <f t="shared" si="0"/>
        <v>422.5</v>
      </c>
      <c r="M20" s="28"/>
    </row>
    <row r="21" spans="1:13" ht="21.75" customHeight="1" x14ac:dyDescent="0.35">
      <c r="A21" s="7">
        <v>17</v>
      </c>
      <c r="B21" s="8" t="s">
        <v>31</v>
      </c>
      <c r="C21" s="7" t="s">
        <v>26</v>
      </c>
      <c r="D21" s="18" t="s">
        <v>17</v>
      </c>
      <c r="E21" s="12">
        <v>450</v>
      </c>
      <c r="F21" s="12">
        <v>376</v>
      </c>
      <c r="G21" s="12">
        <v>352</v>
      </c>
      <c r="H21" s="12">
        <v>300</v>
      </c>
      <c r="I21" s="12">
        <v>199</v>
      </c>
      <c r="J21" s="12">
        <v>497.5</v>
      </c>
      <c r="K21" s="29" t="s">
        <v>35</v>
      </c>
      <c r="L21" s="24">
        <f t="shared" si="0"/>
        <v>497.5</v>
      </c>
      <c r="M21" s="25"/>
    </row>
    <row r="22" spans="1:13" ht="21.75" customHeight="1" x14ac:dyDescent="0.35">
      <c r="A22" s="13">
        <v>18</v>
      </c>
      <c r="B22" s="14" t="s">
        <v>31</v>
      </c>
      <c r="C22" s="13" t="s">
        <v>27</v>
      </c>
      <c r="D22" s="18" t="s">
        <v>17</v>
      </c>
      <c r="E22" s="26" t="s">
        <v>35</v>
      </c>
      <c r="F22" s="26" t="s">
        <v>35</v>
      </c>
      <c r="G22" s="26" t="s">
        <v>35</v>
      </c>
      <c r="H22" s="26" t="s">
        <v>35</v>
      </c>
      <c r="I22" s="17">
        <v>219</v>
      </c>
      <c r="J22" s="17">
        <v>547.5</v>
      </c>
      <c r="K22" s="17">
        <v>480</v>
      </c>
      <c r="L22" s="27">
        <f t="shared" si="0"/>
        <v>547.5</v>
      </c>
      <c r="M22" s="28"/>
    </row>
    <row r="23" spans="1:13" ht="21.75" customHeight="1" x14ac:dyDescent="0.35">
      <c r="A23" s="7">
        <v>19</v>
      </c>
      <c r="B23" s="8" t="s">
        <v>34</v>
      </c>
      <c r="C23" s="7" t="s">
        <v>35</v>
      </c>
      <c r="D23" s="18" t="s">
        <v>17</v>
      </c>
      <c r="E23" s="29" t="s">
        <v>35</v>
      </c>
      <c r="F23" s="29" t="s">
        <v>35</v>
      </c>
      <c r="G23" s="29" t="s">
        <v>35</v>
      </c>
      <c r="H23" s="29" t="s">
        <v>35</v>
      </c>
      <c r="I23" s="29" t="s">
        <v>35</v>
      </c>
      <c r="J23" s="29" t="s">
        <v>35</v>
      </c>
      <c r="K23" s="29" t="s">
        <v>35</v>
      </c>
      <c r="L23" s="24" t="str">
        <f t="shared" si="0"/>
        <v/>
      </c>
      <c r="M23" s="30" t="s">
        <v>106</v>
      </c>
    </row>
    <row r="24" spans="1:13" ht="21.75" customHeight="1" x14ac:dyDescent="0.35">
      <c r="A24" s="13">
        <v>20</v>
      </c>
      <c r="B24" s="14" t="s">
        <v>36</v>
      </c>
      <c r="C24" s="13" t="s">
        <v>37</v>
      </c>
      <c r="D24" s="20" t="s">
        <v>14</v>
      </c>
      <c r="E24" s="26" t="s">
        <v>35</v>
      </c>
      <c r="F24" s="26" t="s">
        <v>35</v>
      </c>
      <c r="G24" s="26" t="s">
        <v>35</v>
      </c>
      <c r="H24" s="26" t="s">
        <v>35</v>
      </c>
      <c r="I24" s="26" t="s">
        <v>35</v>
      </c>
      <c r="J24" s="26" t="s">
        <v>35</v>
      </c>
      <c r="K24" s="17">
        <v>49</v>
      </c>
      <c r="L24" s="27">
        <f t="shared" si="0"/>
        <v>49</v>
      </c>
      <c r="M24" s="28" t="s">
        <v>107</v>
      </c>
    </row>
    <row r="25" spans="1:13" ht="21.75" customHeight="1" x14ac:dyDescent="0.35">
      <c r="A25" s="7">
        <v>21</v>
      </c>
      <c r="B25" s="8" t="s">
        <v>40</v>
      </c>
      <c r="C25" s="7" t="s">
        <v>35</v>
      </c>
      <c r="D25" s="20" t="s">
        <v>14</v>
      </c>
      <c r="E25" s="29" t="s">
        <v>35</v>
      </c>
      <c r="F25" s="29" t="s">
        <v>35</v>
      </c>
      <c r="G25" s="29" t="s">
        <v>35</v>
      </c>
      <c r="H25" s="29" t="s">
        <v>35</v>
      </c>
      <c r="I25" s="29" t="s">
        <v>35</v>
      </c>
      <c r="J25" s="29" t="s">
        <v>35</v>
      </c>
      <c r="K25" s="29" t="s">
        <v>35</v>
      </c>
      <c r="L25" s="24" t="str">
        <f t="shared" si="0"/>
        <v/>
      </c>
      <c r="M25" s="25" t="s">
        <v>108</v>
      </c>
    </row>
    <row r="26" spans="1:13" ht="21.75" customHeight="1" x14ac:dyDescent="0.35">
      <c r="A26" s="13">
        <v>22</v>
      </c>
      <c r="B26" s="14" t="s">
        <v>41</v>
      </c>
      <c r="C26" s="13" t="s">
        <v>22</v>
      </c>
      <c r="D26" s="9" t="s">
        <v>13</v>
      </c>
      <c r="E26" s="17">
        <v>75</v>
      </c>
      <c r="F26" s="26" t="s">
        <v>35</v>
      </c>
      <c r="G26" s="17">
        <v>65</v>
      </c>
      <c r="H26" s="26" t="s">
        <v>35</v>
      </c>
      <c r="I26" s="17">
        <v>69</v>
      </c>
      <c r="J26" s="17">
        <v>172.5</v>
      </c>
      <c r="K26" s="26" t="s">
        <v>35</v>
      </c>
      <c r="L26" s="27">
        <f t="shared" si="0"/>
        <v>172.5</v>
      </c>
      <c r="M26" s="28" t="s">
        <v>109</v>
      </c>
    </row>
    <row r="27" spans="1:13" ht="21.75" customHeight="1" x14ac:dyDescent="0.35">
      <c r="A27" s="7">
        <v>23</v>
      </c>
      <c r="B27" s="8" t="s">
        <v>41</v>
      </c>
      <c r="C27" s="7" t="s">
        <v>23</v>
      </c>
      <c r="D27" s="9" t="s">
        <v>13</v>
      </c>
      <c r="E27" s="29" t="s">
        <v>35</v>
      </c>
      <c r="F27" s="29" t="s">
        <v>35</v>
      </c>
      <c r="G27" s="29" t="s">
        <v>35</v>
      </c>
      <c r="H27" s="29" t="s">
        <v>35</v>
      </c>
      <c r="I27" s="12">
        <v>89</v>
      </c>
      <c r="J27" s="12">
        <v>222.5</v>
      </c>
      <c r="K27" s="29" t="s">
        <v>35</v>
      </c>
      <c r="L27" s="24">
        <f t="shared" si="0"/>
        <v>222.5</v>
      </c>
      <c r="M27" s="25"/>
    </row>
    <row r="28" spans="1:13" ht="21.75" customHeight="1" x14ac:dyDescent="0.35">
      <c r="A28" s="13">
        <v>24</v>
      </c>
      <c r="B28" s="14" t="s">
        <v>42</v>
      </c>
      <c r="C28" s="13" t="s">
        <v>37</v>
      </c>
      <c r="D28" s="20" t="s">
        <v>14</v>
      </c>
      <c r="E28" s="26" t="s">
        <v>35</v>
      </c>
      <c r="F28" s="26" t="s">
        <v>35</v>
      </c>
      <c r="G28" s="26" t="s">
        <v>35</v>
      </c>
      <c r="H28" s="26" t="s">
        <v>35</v>
      </c>
      <c r="I28" s="17">
        <v>39</v>
      </c>
      <c r="J28" s="17">
        <v>97.5</v>
      </c>
      <c r="K28" s="26" t="s">
        <v>35</v>
      </c>
      <c r="L28" s="27">
        <f t="shared" si="0"/>
        <v>97.5</v>
      </c>
      <c r="M28" s="28" t="s">
        <v>107</v>
      </c>
    </row>
    <row r="29" spans="1:13" ht="21.75" customHeight="1" x14ac:dyDescent="0.35">
      <c r="A29" s="7">
        <v>25</v>
      </c>
      <c r="B29" s="8" t="s">
        <v>42</v>
      </c>
      <c r="C29" s="7" t="s">
        <v>22</v>
      </c>
      <c r="D29" s="20" t="s">
        <v>14</v>
      </c>
      <c r="E29" s="12">
        <v>52</v>
      </c>
      <c r="F29" s="12">
        <v>46.55</v>
      </c>
      <c r="G29" s="12">
        <v>44.1</v>
      </c>
      <c r="H29" s="12">
        <v>39.200000000000003</v>
      </c>
      <c r="I29" s="29" t="s">
        <v>35</v>
      </c>
      <c r="J29" s="29" t="s">
        <v>35</v>
      </c>
      <c r="K29" s="29" t="s">
        <v>35</v>
      </c>
      <c r="L29" s="24">
        <f t="shared" si="0"/>
        <v>52</v>
      </c>
      <c r="M29" s="25"/>
    </row>
    <row r="30" spans="1:13" ht="21.75" customHeight="1" x14ac:dyDescent="0.35">
      <c r="A30" s="13">
        <v>26</v>
      </c>
      <c r="B30" s="14" t="s">
        <v>43</v>
      </c>
      <c r="C30" s="13" t="s">
        <v>44</v>
      </c>
      <c r="D30" s="20" t="s">
        <v>14</v>
      </c>
      <c r="E30" s="17">
        <v>69</v>
      </c>
      <c r="F30" s="17">
        <v>52</v>
      </c>
      <c r="G30" s="17">
        <v>50</v>
      </c>
      <c r="H30" s="17">
        <v>49.6</v>
      </c>
      <c r="I30" s="17">
        <v>39</v>
      </c>
      <c r="J30" s="17">
        <v>97.5</v>
      </c>
      <c r="K30" s="26" t="s">
        <v>35</v>
      </c>
      <c r="L30" s="27">
        <f t="shared" si="0"/>
        <v>97.5</v>
      </c>
      <c r="M30" s="28" t="s">
        <v>110</v>
      </c>
    </row>
    <row r="31" spans="1:13" ht="21.75" customHeight="1" x14ac:dyDescent="0.35">
      <c r="A31" s="7">
        <v>27</v>
      </c>
      <c r="B31" s="8" t="s">
        <v>45</v>
      </c>
      <c r="C31" s="7" t="s">
        <v>35</v>
      </c>
      <c r="D31" s="18" t="s">
        <v>17</v>
      </c>
      <c r="E31" s="29" t="s">
        <v>35</v>
      </c>
      <c r="F31" s="29" t="s">
        <v>35</v>
      </c>
      <c r="G31" s="29" t="s">
        <v>35</v>
      </c>
      <c r="H31" s="29" t="s">
        <v>35</v>
      </c>
      <c r="I31" s="29" t="s">
        <v>35</v>
      </c>
      <c r="J31" s="29" t="s">
        <v>35</v>
      </c>
      <c r="K31" s="29" t="s">
        <v>35</v>
      </c>
      <c r="L31" s="24" t="str">
        <f t="shared" si="0"/>
        <v/>
      </c>
      <c r="M31" s="30" t="s">
        <v>111</v>
      </c>
    </row>
    <row r="32" spans="1:13" ht="21.75" customHeight="1" x14ac:dyDescent="0.35">
      <c r="A32" s="13">
        <v>28</v>
      </c>
      <c r="B32" s="14" t="s">
        <v>46</v>
      </c>
      <c r="C32" s="13" t="s">
        <v>47</v>
      </c>
      <c r="D32" s="20" t="s">
        <v>14</v>
      </c>
      <c r="E32" s="17">
        <v>88</v>
      </c>
      <c r="F32" s="17">
        <v>76</v>
      </c>
      <c r="G32" s="17">
        <v>72</v>
      </c>
      <c r="H32" s="17">
        <v>64</v>
      </c>
      <c r="I32" s="26" t="s">
        <v>35</v>
      </c>
      <c r="J32" s="26" t="s">
        <v>35</v>
      </c>
      <c r="K32" s="26" t="s">
        <v>35</v>
      </c>
      <c r="L32" s="27">
        <f t="shared" si="0"/>
        <v>88</v>
      </c>
      <c r="M32" s="28" t="s">
        <v>112</v>
      </c>
    </row>
    <row r="33" spans="1:13" ht="21.75" customHeight="1" x14ac:dyDescent="0.35">
      <c r="A33" s="7">
        <v>29</v>
      </c>
      <c r="B33" s="8" t="s">
        <v>50</v>
      </c>
      <c r="C33" s="7" t="s">
        <v>22</v>
      </c>
      <c r="D33" s="21" t="s">
        <v>15</v>
      </c>
      <c r="E33" s="12">
        <v>39</v>
      </c>
      <c r="F33" s="12">
        <v>34.200000000000003</v>
      </c>
      <c r="G33" s="12">
        <v>32.4</v>
      </c>
      <c r="H33" s="12">
        <v>28.8</v>
      </c>
      <c r="I33" s="12">
        <v>59</v>
      </c>
      <c r="J33" s="12">
        <v>147.5</v>
      </c>
      <c r="K33" s="29" t="s">
        <v>35</v>
      </c>
      <c r="L33" s="24">
        <f t="shared" si="0"/>
        <v>147.5</v>
      </c>
      <c r="M33" s="25" t="s">
        <v>113</v>
      </c>
    </row>
    <row r="34" spans="1:13" ht="21.75" customHeight="1" x14ac:dyDescent="0.35">
      <c r="A34" s="13">
        <v>30</v>
      </c>
      <c r="B34" s="14" t="s">
        <v>50</v>
      </c>
      <c r="C34" s="13" t="s">
        <v>23</v>
      </c>
      <c r="D34" s="21" t="s">
        <v>15</v>
      </c>
      <c r="E34" s="17">
        <v>75</v>
      </c>
      <c r="F34" s="17">
        <v>66</v>
      </c>
      <c r="G34" s="17">
        <v>62</v>
      </c>
      <c r="H34" s="17">
        <v>57</v>
      </c>
      <c r="I34" s="26" t="s">
        <v>35</v>
      </c>
      <c r="J34" s="26" t="s">
        <v>35</v>
      </c>
      <c r="K34" s="26" t="s">
        <v>35</v>
      </c>
      <c r="L34" s="27">
        <f t="shared" si="0"/>
        <v>75</v>
      </c>
      <c r="M34" s="28"/>
    </row>
    <row r="35" spans="1:13" ht="21.75" customHeight="1" x14ac:dyDescent="0.35">
      <c r="A35" s="7">
        <v>31</v>
      </c>
      <c r="B35" s="8" t="s">
        <v>51</v>
      </c>
      <c r="C35" s="7" t="s">
        <v>37</v>
      </c>
      <c r="D35" s="21" t="s">
        <v>15</v>
      </c>
      <c r="E35" s="29" t="s">
        <v>35</v>
      </c>
      <c r="F35" s="29" t="s">
        <v>35</v>
      </c>
      <c r="G35" s="29" t="s">
        <v>35</v>
      </c>
      <c r="H35" s="29" t="s">
        <v>35</v>
      </c>
      <c r="I35" s="12">
        <v>39</v>
      </c>
      <c r="J35" s="12">
        <v>97.5</v>
      </c>
      <c r="K35" s="29" t="s">
        <v>35</v>
      </c>
      <c r="L35" s="24">
        <f t="shared" si="0"/>
        <v>97.5</v>
      </c>
      <c r="M35" s="25" t="s">
        <v>114</v>
      </c>
    </row>
    <row r="36" spans="1:13" ht="21.75" customHeight="1" x14ac:dyDescent="0.35">
      <c r="A36" s="13">
        <v>32</v>
      </c>
      <c r="B36" s="14" t="s">
        <v>51</v>
      </c>
      <c r="C36" s="13" t="s">
        <v>22</v>
      </c>
      <c r="D36" s="21" t="s">
        <v>15</v>
      </c>
      <c r="E36" s="17">
        <v>75</v>
      </c>
      <c r="F36" s="17">
        <v>61.75</v>
      </c>
      <c r="G36" s="17">
        <v>58.5</v>
      </c>
      <c r="H36" s="17">
        <v>52</v>
      </c>
      <c r="I36" s="26" t="s">
        <v>35</v>
      </c>
      <c r="J36" s="26" t="s">
        <v>35</v>
      </c>
      <c r="K36" s="26" t="s">
        <v>35</v>
      </c>
      <c r="L36" s="27">
        <f t="shared" si="0"/>
        <v>75</v>
      </c>
      <c r="M36" s="28"/>
    </row>
    <row r="37" spans="1:13" ht="21.75" customHeight="1" x14ac:dyDescent="0.35">
      <c r="A37" s="7">
        <v>33</v>
      </c>
      <c r="B37" s="8" t="s">
        <v>52</v>
      </c>
      <c r="C37" s="7" t="s">
        <v>53</v>
      </c>
      <c r="D37" s="21" t="s">
        <v>15</v>
      </c>
      <c r="E37" s="12">
        <v>95</v>
      </c>
      <c r="F37" s="12">
        <v>85.5</v>
      </c>
      <c r="G37" s="12">
        <v>81</v>
      </c>
      <c r="H37" s="12">
        <v>72</v>
      </c>
      <c r="I37" s="12">
        <v>79</v>
      </c>
      <c r="J37" s="12">
        <v>197.5</v>
      </c>
      <c r="K37" s="29" t="s">
        <v>35</v>
      </c>
      <c r="L37" s="24">
        <f t="shared" ref="L37:L57" si="1">IFERROR(IF(MAX(E37:K37)=0,"",MAX(E37:K37)),"")</f>
        <v>197.5</v>
      </c>
      <c r="M37" s="25" t="s">
        <v>115</v>
      </c>
    </row>
    <row r="38" spans="1:13" ht="21.75" customHeight="1" x14ac:dyDescent="0.35">
      <c r="A38" s="13">
        <v>34</v>
      </c>
      <c r="B38" s="14" t="s">
        <v>54</v>
      </c>
      <c r="C38" s="13" t="s">
        <v>22</v>
      </c>
      <c r="D38" s="21" t="s">
        <v>15</v>
      </c>
      <c r="E38" s="17">
        <v>45</v>
      </c>
      <c r="F38" s="17">
        <v>39.9</v>
      </c>
      <c r="G38" s="17">
        <v>37.799999999999997</v>
      </c>
      <c r="H38" s="17">
        <v>33.6</v>
      </c>
      <c r="I38" s="17">
        <v>29</v>
      </c>
      <c r="J38" s="17">
        <v>72.5</v>
      </c>
      <c r="K38" s="26" t="s">
        <v>35</v>
      </c>
      <c r="L38" s="27">
        <f t="shared" si="1"/>
        <v>72.5</v>
      </c>
      <c r="M38" s="28" t="s">
        <v>114</v>
      </c>
    </row>
    <row r="39" spans="1:13" ht="21.75" customHeight="1" x14ac:dyDescent="0.35">
      <c r="A39" s="7">
        <v>35</v>
      </c>
      <c r="B39" s="8" t="s">
        <v>55</v>
      </c>
      <c r="C39" s="7" t="s">
        <v>35</v>
      </c>
      <c r="D39" s="22" t="s">
        <v>16</v>
      </c>
      <c r="E39" s="29" t="s">
        <v>35</v>
      </c>
      <c r="F39" s="29" t="s">
        <v>35</v>
      </c>
      <c r="G39" s="29" t="s">
        <v>35</v>
      </c>
      <c r="H39" s="29" t="s">
        <v>35</v>
      </c>
      <c r="I39" s="29" t="s">
        <v>35</v>
      </c>
      <c r="J39" s="29" t="s">
        <v>35</v>
      </c>
      <c r="K39" s="29" t="s">
        <v>35</v>
      </c>
      <c r="L39" s="24" t="str">
        <f t="shared" si="1"/>
        <v/>
      </c>
      <c r="M39" s="25" t="s">
        <v>116</v>
      </c>
    </row>
    <row r="40" spans="1:13" ht="21.75" customHeight="1" x14ac:dyDescent="0.35">
      <c r="A40" s="13">
        <v>36</v>
      </c>
      <c r="B40" s="14" t="s">
        <v>58</v>
      </c>
      <c r="C40" s="13" t="s">
        <v>22</v>
      </c>
      <c r="D40" s="9" t="s">
        <v>13</v>
      </c>
      <c r="E40" s="17">
        <v>45</v>
      </c>
      <c r="F40" s="17">
        <v>38</v>
      </c>
      <c r="G40" s="17">
        <v>36</v>
      </c>
      <c r="H40" s="17">
        <v>32</v>
      </c>
      <c r="I40" s="17">
        <v>49</v>
      </c>
      <c r="J40" s="17">
        <v>122.5</v>
      </c>
      <c r="K40" s="26" t="s">
        <v>35</v>
      </c>
      <c r="L40" s="27">
        <f t="shared" si="1"/>
        <v>122.5</v>
      </c>
      <c r="M40" s="28" t="s">
        <v>117</v>
      </c>
    </row>
    <row r="41" spans="1:13" ht="21.75" customHeight="1" x14ac:dyDescent="0.35">
      <c r="A41" s="7">
        <v>37</v>
      </c>
      <c r="B41" s="8" t="s">
        <v>59</v>
      </c>
      <c r="C41" s="7" t="s">
        <v>22</v>
      </c>
      <c r="D41" s="18" t="s">
        <v>17</v>
      </c>
      <c r="E41" s="12">
        <v>80</v>
      </c>
      <c r="F41" s="29" t="s">
        <v>35</v>
      </c>
      <c r="G41" s="29" t="s">
        <v>35</v>
      </c>
      <c r="H41" s="29" t="s">
        <v>35</v>
      </c>
      <c r="I41" s="29" t="s">
        <v>35</v>
      </c>
      <c r="J41" s="29" t="s">
        <v>35</v>
      </c>
      <c r="K41" s="29" t="s">
        <v>35</v>
      </c>
      <c r="L41" s="24">
        <f t="shared" si="1"/>
        <v>80</v>
      </c>
      <c r="M41" s="25" t="s">
        <v>118</v>
      </c>
    </row>
    <row r="42" spans="1:13" ht="21.75" customHeight="1" x14ac:dyDescent="0.35">
      <c r="A42" s="13">
        <v>38</v>
      </c>
      <c r="B42" s="14" t="s">
        <v>62</v>
      </c>
      <c r="C42" s="13" t="s">
        <v>22</v>
      </c>
      <c r="D42" s="20" t="s">
        <v>14</v>
      </c>
      <c r="E42" s="17">
        <v>100</v>
      </c>
      <c r="F42" s="17">
        <v>85.5</v>
      </c>
      <c r="G42" s="17">
        <v>81</v>
      </c>
      <c r="H42" s="17">
        <v>72</v>
      </c>
      <c r="I42" s="26" t="s">
        <v>35</v>
      </c>
      <c r="J42" s="26" t="s">
        <v>35</v>
      </c>
      <c r="K42" s="26" t="s">
        <v>35</v>
      </c>
      <c r="L42" s="27">
        <f t="shared" si="1"/>
        <v>100</v>
      </c>
      <c r="M42" s="28" t="s">
        <v>107</v>
      </c>
    </row>
    <row r="43" spans="1:13" ht="21.75" customHeight="1" x14ac:dyDescent="0.35">
      <c r="A43" s="7">
        <v>39</v>
      </c>
      <c r="B43" s="8" t="s">
        <v>63</v>
      </c>
      <c r="C43" s="7" t="s">
        <v>22</v>
      </c>
      <c r="D43" s="18" t="s">
        <v>17</v>
      </c>
      <c r="E43" s="29" t="s">
        <v>35</v>
      </c>
      <c r="F43" s="29" t="s">
        <v>35</v>
      </c>
      <c r="G43" s="29" t="s">
        <v>35</v>
      </c>
      <c r="H43" s="29" t="s">
        <v>35</v>
      </c>
      <c r="I43" s="12">
        <v>39</v>
      </c>
      <c r="J43" s="12">
        <v>97.5</v>
      </c>
      <c r="K43" s="29" t="s">
        <v>35</v>
      </c>
      <c r="L43" s="24">
        <f t="shared" si="1"/>
        <v>97.5</v>
      </c>
      <c r="M43" s="30" t="s">
        <v>119</v>
      </c>
    </row>
    <row r="44" spans="1:13" ht="21.75" customHeight="1" x14ac:dyDescent="0.35">
      <c r="A44" s="13">
        <v>40</v>
      </c>
      <c r="B44" s="14" t="s">
        <v>64</v>
      </c>
      <c r="C44" s="13" t="s">
        <v>22</v>
      </c>
      <c r="D44" s="21" t="s">
        <v>15</v>
      </c>
      <c r="E44" s="17">
        <v>50</v>
      </c>
      <c r="F44" s="17">
        <v>42.75</v>
      </c>
      <c r="G44" s="17">
        <v>40.5</v>
      </c>
      <c r="H44" s="17">
        <v>36</v>
      </c>
      <c r="I44" s="17">
        <v>39</v>
      </c>
      <c r="J44" s="17">
        <v>97.5</v>
      </c>
      <c r="K44" s="26" t="s">
        <v>35</v>
      </c>
      <c r="L44" s="27">
        <f t="shared" si="1"/>
        <v>97.5</v>
      </c>
      <c r="M44" s="28" t="s">
        <v>114</v>
      </c>
    </row>
    <row r="45" spans="1:13" ht="21.75" customHeight="1" x14ac:dyDescent="0.35">
      <c r="A45" s="7">
        <v>41</v>
      </c>
      <c r="B45" s="8" t="s">
        <v>65</v>
      </c>
      <c r="C45" s="7" t="s">
        <v>66</v>
      </c>
      <c r="D45" s="20" t="s">
        <v>14</v>
      </c>
      <c r="E45" s="12">
        <v>65</v>
      </c>
      <c r="F45" s="12">
        <v>57</v>
      </c>
      <c r="G45" s="12">
        <v>55</v>
      </c>
      <c r="H45" s="12">
        <v>53</v>
      </c>
      <c r="I45" s="12">
        <v>59</v>
      </c>
      <c r="J45" s="12">
        <v>147.5</v>
      </c>
      <c r="K45" s="29" t="s">
        <v>35</v>
      </c>
      <c r="L45" s="24">
        <f t="shared" si="1"/>
        <v>147.5</v>
      </c>
      <c r="M45" s="25" t="s">
        <v>120</v>
      </c>
    </row>
    <row r="46" spans="1:13" ht="21.75" customHeight="1" x14ac:dyDescent="0.35">
      <c r="A46" s="13">
        <v>42</v>
      </c>
      <c r="B46" s="14" t="s">
        <v>65</v>
      </c>
      <c r="C46" s="13" t="s">
        <v>67</v>
      </c>
      <c r="D46" s="20" t="s">
        <v>14</v>
      </c>
      <c r="E46" s="17">
        <v>95</v>
      </c>
      <c r="F46" s="17">
        <v>76</v>
      </c>
      <c r="G46" s="17">
        <v>72</v>
      </c>
      <c r="H46" s="17">
        <v>64</v>
      </c>
      <c r="I46" s="26" t="s">
        <v>35</v>
      </c>
      <c r="J46" s="26" t="s">
        <v>35</v>
      </c>
      <c r="K46" s="26" t="s">
        <v>35</v>
      </c>
      <c r="L46" s="27">
        <f t="shared" si="1"/>
        <v>95</v>
      </c>
      <c r="M46" s="28"/>
    </row>
    <row r="47" spans="1:13" ht="21.75" customHeight="1" x14ac:dyDescent="0.35">
      <c r="A47" s="7">
        <v>43</v>
      </c>
      <c r="B47" s="8" t="s">
        <v>70</v>
      </c>
      <c r="C47" s="7" t="s">
        <v>35</v>
      </c>
      <c r="D47" s="22" t="s">
        <v>16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4" t="str">
        <f t="shared" si="1"/>
        <v/>
      </c>
      <c r="M47" s="25" t="s">
        <v>116</v>
      </c>
    </row>
    <row r="48" spans="1:13" ht="21.75" customHeight="1" x14ac:dyDescent="0.35">
      <c r="A48" s="13">
        <v>44</v>
      </c>
      <c r="B48" s="14" t="s">
        <v>71</v>
      </c>
      <c r="C48" s="13" t="s">
        <v>37</v>
      </c>
      <c r="D48" s="21" t="s">
        <v>15</v>
      </c>
      <c r="E48" s="26" t="s">
        <v>35</v>
      </c>
      <c r="F48" s="26" t="s">
        <v>35</v>
      </c>
      <c r="G48" s="26" t="s">
        <v>35</v>
      </c>
      <c r="H48" s="26" t="s">
        <v>35</v>
      </c>
      <c r="I48" s="17">
        <v>39</v>
      </c>
      <c r="J48" s="17">
        <v>97.5</v>
      </c>
      <c r="K48" s="26" t="s">
        <v>35</v>
      </c>
      <c r="L48" s="27">
        <f t="shared" si="1"/>
        <v>97.5</v>
      </c>
      <c r="M48" s="28" t="s">
        <v>121</v>
      </c>
    </row>
    <row r="49" spans="1:13" ht="21.75" customHeight="1" x14ac:dyDescent="0.35">
      <c r="A49" s="7">
        <v>45</v>
      </c>
      <c r="B49" s="8" t="s">
        <v>71</v>
      </c>
      <c r="C49" s="7" t="s">
        <v>24</v>
      </c>
      <c r="D49" s="21" t="s">
        <v>15</v>
      </c>
      <c r="E49" s="12">
        <v>69</v>
      </c>
      <c r="F49" s="12">
        <v>59.85</v>
      </c>
      <c r="G49" s="12">
        <v>56.7</v>
      </c>
      <c r="H49" s="12">
        <v>50.4</v>
      </c>
      <c r="I49" s="29" t="s">
        <v>35</v>
      </c>
      <c r="J49" s="29" t="s">
        <v>35</v>
      </c>
      <c r="K49" s="29" t="s">
        <v>35</v>
      </c>
      <c r="L49" s="24">
        <f t="shared" si="1"/>
        <v>69</v>
      </c>
      <c r="M49" s="25"/>
    </row>
    <row r="50" spans="1:13" ht="21.75" customHeight="1" x14ac:dyDescent="0.35">
      <c r="A50" s="13">
        <v>46</v>
      </c>
      <c r="B50" s="14" t="s">
        <v>72</v>
      </c>
      <c r="C50" s="13" t="s">
        <v>37</v>
      </c>
      <c r="D50" s="20" t="s">
        <v>14</v>
      </c>
      <c r="E50" s="26" t="s">
        <v>35</v>
      </c>
      <c r="F50" s="26" t="s">
        <v>35</v>
      </c>
      <c r="G50" s="26" t="s">
        <v>35</v>
      </c>
      <c r="H50" s="26" t="s">
        <v>35</v>
      </c>
      <c r="I50" s="17">
        <v>39</v>
      </c>
      <c r="J50" s="17">
        <v>97.5</v>
      </c>
      <c r="K50" s="26" t="s">
        <v>35</v>
      </c>
      <c r="L50" s="27">
        <f t="shared" si="1"/>
        <v>97.5</v>
      </c>
      <c r="M50" s="28" t="s">
        <v>107</v>
      </c>
    </row>
    <row r="51" spans="1:13" ht="21.75" customHeight="1" x14ac:dyDescent="0.35">
      <c r="A51" s="7">
        <v>47</v>
      </c>
      <c r="B51" s="8" t="s">
        <v>73</v>
      </c>
      <c r="C51" s="7" t="s">
        <v>74</v>
      </c>
      <c r="D51" s="18" t="s">
        <v>17</v>
      </c>
      <c r="E51" s="12">
        <v>120</v>
      </c>
      <c r="F51" s="29" t="s">
        <v>35</v>
      </c>
      <c r="G51" s="29" t="s">
        <v>35</v>
      </c>
      <c r="H51" s="29" t="s">
        <v>35</v>
      </c>
      <c r="I51" s="29" t="s">
        <v>35</v>
      </c>
      <c r="J51" s="29" t="s">
        <v>35</v>
      </c>
      <c r="K51" s="29" t="s">
        <v>35</v>
      </c>
      <c r="L51" s="24">
        <f t="shared" si="1"/>
        <v>120</v>
      </c>
      <c r="M51" s="30" t="s">
        <v>122</v>
      </c>
    </row>
    <row r="52" spans="1:13" ht="21.75" customHeight="1" x14ac:dyDescent="0.35">
      <c r="A52" s="13">
        <v>48</v>
      </c>
      <c r="B52" s="14" t="s">
        <v>76</v>
      </c>
      <c r="C52" s="13" t="s">
        <v>77</v>
      </c>
      <c r="D52" s="22" t="s">
        <v>16</v>
      </c>
      <c r="E52" s="17">
        <v>115</v>
      </c>
      <c r="F52" s="17">
        <v>99.75</v>
      </c>
      <c r="G52" s="17">
        <v>94.5</v>
      </c>
      <c r="H52" s="17">
        <v>84</v>
      </c>
      <c r="I52" s="17">
        <v>89</v>
      </c>
      <c r="J52" s="17">
        <v>222.5</v>
      </c>
      <c r="K52" s="17">
        <v>127</v>
      </c>
      <c r="L52" s="27">
        <f t="shared" si="1"/>
        <v>222.5</v>
      </c>
      <c r="M52" s="28" t="s">
        <v>123</v>
      </c>
    </row>
    <row r="53" spans="1:13" ht="21.75" customHeight="1" x14ac:dyDescent="0.35">
      <c r="A53" s="7">
        <v>49</v>
      </c>
      <c r="B53" s="8" t="s">
        <v>78</v>
      </c>
      <c r="C53" s="7" t="s">
        <v>79</v>
      </c>
      <c r="D53" s="22" t="s">
        <v>16</v>
      </c>
      <c r="E53" s="12">
        <v>130</v>
      </c>
      <c r="F53" s="29" t="s">
        <v>35</v>
      </c>
      <c r="G53" s="29" t="s">
        <v>35</v>
      </c>
      <c r="H53" s="29" t="s">
        <v>35</v>
      </c>
      <c r="I53" s="12">
        <v>99</v>
      </c>
      <c r="J53" s="12">
        <v>247.5</v>
      </c>
      <c r="K53" s="12">
        <v>140</v>
      </c>
      <c r="L53" s="24">
        <f t="shared" si="1"/>
        <v>247.5</v>
      </c>
      <c r="M53" s="25"/>
    </row>
    <row r="54" spans="1:13" ht="21.75" customHeight="1" x14ac:dyDescent="0.35">
      <c r="A54" s="13">
        <v>50</v>
      </c>
      <c r="B54" s="14" t="s">
        <v>82</v>
      </c>
      <c r="C54" s="13" t="s">
        <v>26</v>
      </c>
      <c r="D54" s="21" t="s">
        <v>15</v>
      </c>
      <c r="E54" s="17">
        <v>32</v>
      </c>
      <c r="F54" s="17">
        <v>27.55</v>
      </c>
      <c r="G54" s="17">
        <v>26.1</v>
      </c>
      <c r="H54" s="17">
        <v>23.2</v>
      </c>
      <c r="I54" s="17">
        <v>39</v>
      </c>
      <c r="J54" s="17">
        <v>97.5</v>
      </c>
      <c r="K54" s="26" t="s">
        <v>35</v>
      </c>
      <c r="L54" s="27">
        <f t="shared" si="1"/>
        <v>97.5</v>
      </c>
      <c r="M54" s="28" t="s">
        <v>124</v>
      </c>
    </row>
    <row r="55" spans="1:13" ht="21.75" customHeight="1" x14ac:dyDescent="0.35">
      <c r="A55" s="7">
        <v>51</v>
      </c>
      <c r="B55" s="8" t="s">
        <v>83</v>
      </c>
      <c r="C55" s="7" t="s">
        <v>84</v>
      </c>
      <c r="D55" s="20" t="s">
        <v>14</v>
      </c>
      <c r="E55" s="12">
        <v>75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4">
        <f t="shared" si="1"/>
        <v>75</v>
      </c>
      <c r="M55" s="25" t="s">
        <v>125</v>
      </c>
    </row>
    <row r="56" spans="1:13" ht="21.75" customHeight="1" x14ac:dyDescent="0.35">
      <c r="A56" s="13">
        <v>52</v>
      </c>
      <c r="B56" s="14" t="s">
        <v>85</v>
      </c>
      <c r="C56" s="13" t="s">
        <v>86</v>
      </c>
      <c r="D56" s="18" t="s">
        <v>17</v>
      </c>
      <c r="E56" s="26" t="s">
        <v>35</v>
      </c>
      <c r="F56" s="26" t="s">
        <v>35</v>
      </c>
      <c r="G56" s="26" t="s">
        <v>35</v>
      </c>
      <c r="H56" s="26" t="s">
        <v>35</v>
      </c>
      <c r="I56" s="17">
        <v>49</v>
      </c>
      <c r="J56" s="17">
        <v>122.5</v>
      </c>
      <c r="K56" s="26" t="s">
        <v>35</v>
      </c>
      <c r="L56" s="27">
        <f t="shared" si="1"/>
        <v>122.5</v>
      </c>
      <c r="M56" s="31" t="s">
        <v>126</v>
      </c>
    </row>
    <row r="57" spans="1:13" ht="21.75" customHeight="1" x14ac:dyDescent="0.35">
      <c r="A57" s="7">
        <v>53</v>
      </c>
      <c r="B57" s="8" t="s">
        <v>85</v>
      </c>
      <c r="C57" s="7" t="s">
        <v>87</v>
      </c>
      <c r="D57" s="18" t="s">
        <v>17</v>
      </c>
      <c r="E57" s="29" t="s">
        <v>35</v>
      </c>
      <c r="F57" s="29" t="s">
        <v>35</v>
      </c>
      <c r="G57" s="29" t="s">
        <v>35</v>
      </c>
      <c r="H57" s="29" t="s">
        <v>35</v>
      </c>
      <c r="I57" s="12">
        <v>175</v>
      </c>
      <c r="J57" s="12">
        <v>437.5</v>
      </c>
      <c r="K57" s="29" t="s">
        <v>35</v>
      </c>
      <c r="L57" s="24">
        <f t="shared" si="1"/>
        <v>437.5</v>
      </c>
      <c r="M57" s="25"/>
    </row>
  </sheetData>
  <mergeCells count="4">
    <mergeCell ref="A1:L1"/>
    <mergeCell ref="A2:L2"/>
    <mergeCell ref="E3:H3"/>
    <mergeCell ref="I3:J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Product Catalog</vt:lpstr>
      <vt:lpstr>💲 Lab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 Nova</cp:lastModifiedBy>
  <cp:revision>0</cp:revision>
  <dcterms:created xsi:type="dcterms:W3CDTF">2026-05-29T19:07:05Z</dcterms:created>
  <dcterms:modified xsi:type="dcterms:W3CDTF">2026-05-29T19:23:32Z</dcterms:modified>
  <dc:language>en-US</dc:language>
</cp:coreProperties>
</file>